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341C8516-638E-4437-92C1-240F5CB9576F}" xr6:coauthVersionLast="47" xr6:coauthVersionMax="47" xr10:uidLastSave="{00000000-0000-0000-0000-000000000000}"/>
  <bookViews>
    <workbookView xWindow="-110" yWindow="-110" windowWidth="19420" windowHeight="11020" tabRatio="720" xr2:uid="{9BBCD017-A4CB-4847-B2A2-652F40751E3A}"/>
  </bookViews>
  <sheets>
    <sheet name="Dashboard" sheetId="13" r:id="rId1"/>
    <sheet name="Data Sheet" sheetId="7" r:id="rId2"/>
    <sheet name="Historical FS" sheetId="1" r:id="rId3"/>
    <sheet name="Ratio Analysis" sheetId="3" r:id="rId4"/>
    <sheet name="Projections " sheetId="11" r:id="rId5"/>
    <sheet name="Sensitivity Analysis" sheetId="12" r:id="rId6"/>
  </sheets>
  <definedNames>
    <definedName name="UPDATE" localSheetId="1">'Data Sheet'!$E$1</definedName>
    <definedName name="UPDATE">#REF!</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5" i="13" l="1"/>
  <c r="L26" i="13" s="1"/>
  <c r="L27" i="13" s="1"/>
  <c r="O22" i="13"/>
  <c r="P22" i="13" s="1"/>
  <c r="Q22" i="13" s="1"/>
  <c r="D37" i="3"/>
  <c r="E37" i="3"/>
  <c r="F37" i="3"/>
  <c r="G37" i="3"/>
  <c r="H37" i="3"/>
  <c r="I37" i="3"/>
  <c r="J37" i="3"/>
  <c r="K37" i="3"/>
  <c r="L37" i="3"/>
  <c r="O36" i="3"/>
  <c r="F35" i="3"/>
  <c r="G35" i="3"/>
  <c r="H35" i="3"/>
  <c r="D28" i="3"/>
  <c r="E28" i="3"/>
  <c r="E35" i="3" s="1"/>
  <c r="F28" i="3"/>
  <c r="G28" i="3"/>
  <c r="H28" i="3"/>
  <c r="I28" i="3"/>
  <c r="I35" i="3" s="1"/>
  <c r="J28" i="3"/>
  <c r="J35" i="3" s="1"/>
  <c r="K28" i="3"/>
  <c r="K35" i="3" s="1"/>
  <c r="L28" i="3"/>
  <c r="L35" i="3" s="1"/>
  <c r="C28" i="3"/>
  <c r="C35" i="3" s="1"/>
  <c r="C37" i="3" s="1"/>
  <c r="L24" i="13" l="1"/>
  <c r="L23" i="13" s="1"/>
  <c r="N22" i="13"/>
  <c r="M22" i="13" s="1"/>
  <c r="O37" i="3"/>
  <c r="N37" i="3"/>
  <c r="N28" i="3"/>
  <c r="O28" i="3"/>
  <c r="O35" i="3"/>
  <c r="D35" i="3"/>
  <c r="N35" i="3" l="1"/>
  <c r="C27" i="3" l="1"/>
  <c r="J39" i="1"/>
  <c r="J37" i="1" s="1"/>
  <c r="K39" i="1"/>
  <c r="K37" i="1" s="1"/>
  <c r="L39" i="1"/>
  <c r="L37" i="1" s="1"/>
  <c r="M13" i="13"/>
  <c r="F12" i="13"/>
  <c r="M37" i="1"/>
  <c r="E45" i="1"/>
  <c r="D37" i="1"/>
  <c r="E37" i="1"/>
  <c r="F37" i="1"/>
  <c r="G37" i="1"/>
  <c r="H37" i="1"/>
  <c r="I37" i="1"/>
  <c r="C37" i="1"/>
  <c r="D39" i="1"/>
  <c r="E39" i="1"/>
  <c r="F39" i="1"/>
  <c r="G39" i="1"/>
  <c r="H39" i="1"/>
  <c r="I39" i="1"/>
  <c r="C39" i="1"/>
  <c r="M29" i="13"/>
  <c r="C19" i="12"/>
  <c r="C1" i="13"/>
  <c r="C20" i="12" l="1"/>
  <c r="S10" i="13"/>
  <c r="S9" i="13"/>
  <c r="S8" i="13"/>
  <c r="S5" i="13"/>
  <c r="S4" i="13"/>
  <c r="S3" i="13"/>
  <c r="M30" i="13"/>
  <c r="O19" i="13"/>
  <c r="O18" i="13"/>
  <c r="B6" i="11"/>
  <c r="B29" i="11" l="1"/>
  <c r="B27" i="11"/>
  <c r="D26" i="11"/>
  <c r="E26" i="11" s="1"/>
  <c r="F26" i="11" s="1"/>
  <c r="G26" i="11" s="1"/>
  <c r="H26" i="11" s="1"/>
  <c r="I26" i="11" s="1"/>
  <c r="J26" i="11" s="1"/>
  <c r="K26" i="11" s="1"/>
  <c r="L26" i="11" s="1"/>
  <c r="B24" i="11"/>
  <c r="B2" i="11"/>
  <c r="B7" i="11"/>
  <c r="B5" i="11"/>
  <c r="D4" i="11"/>
  <c r="E4" i="11"/>
  <c r="F4" i="11" s="1"/>
  <c r="M26" i="11" l="1"/>
  <c r="N26" i="11" s="1"/>
  <c r="O26" i="11" s="1"/>
  <c r="P26" i="11" s="1"/>
  <c r="Q26" i="11" s="1"/>
  <c r="R26" i="11" s="1"/>
  <c r="G4" i="11"/>
  <c r="H4" i="11" s="1"/>
  <c r="I4" i="11" s="1"/>
  <c r="J4" i="11" s="1"/>
  <c r="K4" i="11" s="1"/>
  <c r="L4" i="11" s="1"/>
  <c r="M4" i="11" l="1"/>
  <c r="N4" i="11" s="1"/>
  <c r="O4" i="11" s="1"/>
  <c r="P4" i="11" s="1"/>
  <c r="Q4" i="11" s="1"/>
  <c r="R4" i="11" s="1"/>
  <c r="B2" i="3" l="1"/>
  <c r="L3" i="3"/>
  <c r="K3" i="3"/>
  <c r="J3" i="3"/>
  <c r="I3" i="3"/>
  <c r="H3" i="3"/>
  <c r="G3" i="3"/>
  <c r="F3" i="3"/>
  <c r="E3" i="3"/>
  <c r="D3" i="3"/>
  <c r="C3" i="3"/>
  <c r="M42" i="1"/>
  <c r="M17" i="1"/>
  <c r="M26" i="1"/>
  <c r="D26" i="1"/>
  <c r="E26" i="1"/>
  <c r="F26" i="1"/>
  <c r="G26" i="1"/>
  <c r="H26" i="1"/>
  <c r="I26" i="1"/>
  <c r="J26" i="1"/>
  <c r="K26" i="1"/>
  <c r="L26" i="1"/>
  <c r="C26" i="1"/>
  <c r="C102" i="1"/>
  <c r="D102" i="1"/>
  <c r="E102" i="1"/>
  <c r="F102" i="1"/>
  <c r="G102" i="1"/>
  <c r="H102" i="1"/>
  <c r="I102" i="1"/>
  <c r="J102" i="1"/>
  <c r="K102" i="1"/>
  <c r="L102" i="1"/>
  <c r="C103" i="1"/>
  <c r="D103" i="1"/>
  <c r="E103" i="1"/>
  <c r="F103" i="1"/>
  <c r="G103" i="1"/>
  <c r="H103" i="1"/>
  <c r="I103" i="1"/>
  <c r="J103" i="1"/>
  <c r="K103" i="1"/>
  <c r="L103" i="1"/>
  <c r="C104" i="1"/>
  <c r="D104" i="1"/>
  <c r="E104" i="1"/>
  <c r="F104" i="1"/>
  <c r="G104" i="1"/>
  <c r="H104" i="1"/>
  <c r="I104" i="1"/>
  <c r="J104" i="1"/>
  <c r="K104" i="1"/>
  <c r="L104" i="1"/>
  <c r="C105" i="1"/>
  <c r="D105" i="1"/>
  <c r="E105" i="1"/>
  <c r="F105" i="1"/>
  <c r="G105" i="1"/>
  <c r="H105" i="1"/>
  <c r="I105" i="1"/>
  <c r="J105" i="1"/>
  <c r="K105" i="1"/>
  <c r="L105" i="1"/>
  <c r="C106" i="1"/>
  <c r="D106" i="1"/>
  <c r="E106" i="1"/>
  <c r="F106" i="1"/>
  <c r="G106" i="1"/>
  <c r="H106" i="1"/>
  <c r="I106" i="1"/>
  <c r="J106" i="1"/>
  <c r="K106" i="1"/>
  <c r="L106" i="1"/>
  <c r="D101" i="1"/>
  <c r="E101" i="1"/>
  <c r="F101" i="1"/>
  <c r="G101" i="1"/>
  <c r="H101" i="1"/>
  <c r="I101" i="1"/>
  <c r="J101" i="1"/>
  <c r="K101" i="1"/>
  <c r="L101" i="1"/>
  <c r="C101" i="1"/>
  <c r="C89" i="1"/>
  <c r="D89" i="1"/>
  <c r="E89" i="1"/>
  <c r="F89" i="1"/>
  <c r="G89" i="1"/>
  <c r="H89" i="1"/>
  <c r="I89" i="1"/>
  <c r="J89" i="1"/>
  <c r="K89" i="1"/>
  <c r="L89" i="1"/>
  <c r="C90" i="1"/>
  <c r="D90" i="1"/>
  <c r="E90" i="1"/>
  <c r="F90" i="1"/>
  <c r="G90" i="1"/>
  <c r="H90" i="1"/>
  <c r="I90" i="1"/>
  <c r="J90" i="1"/>
  <c r="K90" i="1"/>
  <c r="L90" i="1"/>
  <c r="C91" i="1"/>
  <c r="D91" i="1"/>
  <c r="E91" i="1"/>
  <c r="F91" i="1"/>
  <c r="G91" i="1"/>
  <c r="H91" i="1"/>
  <c r="I91" i="1"/>
  <c r="J91" i="1"/>
  <c r="K91" i="1"/>
  <c r="L91" i="1"/>
  <c r="C92" i="1"/>
  <c r="D92" i="1"/>
  <c r="E92" i="1"/>
  <c r="F92" i="1"/>
  <c r="G92" i="1"/>
  <c r="H92" i="1"/>
  <c r="I92" i="1"/>
  <c r="J92" i="1"/>
  <c r="K92" i="1"/>
  <c r="L92" i="1"/>
  <c r="C93" i="1"/>
  <c r="D93" i="1"/>
  <c r="E93" i="1"/>
  <c r="F93" i="1"/>
  <c r="G93" i="1"/>
  <c r="H93" i="1"/>
  <c r="I93" i="1"/>
  <c r="J93" i="1"/>
  <c r="K93" i="1"/>
  <c r="L93" i="1"/>
  <c r="C94" i="1"/>
  <c r="D94" i="1"/>
  <c r="E94" i="1"/>
  <c r="F94" i="1"/>
  <c r="G94" i="1"/>
  <c r="H94" i="1"/>
  <c r="I94" i="1"/>
  <c r="J94" i="1"/>
  <c r="K94" i="1"/>
  <c r="L94" i="1"/>
  <c r="C95" i="1"/>
  <c r="D95" i="1"/>
  <c r="E95" i="1"/>
  <c r="F95" i="1"/>
  <c r="G95" i="1"/>
  <c r="H95" i="1"/>
  <c r="I95" i="1"/>
  <c r="J95" i="1"/>
  <c r="K95" i="1"/>
  <c r="L95" i="1"/>
  <c r="C96" i="1"/>
  <c r="D96" i="1"/>
  <c r="E96" i="1"/>
  <c r="F96" i="1"/>
  <c r="G96" i="1"/>
  <c r="H96" i="1"/>
  <c r="I96" i="1"/>
  <c r="J96" i="1"/>
  <c r="K96" i="1"/>
  <c r="L96" i="1"/>
  <c r="C97" i="1"/>
  <c r="D97" i="1"/>
  <c r="E97" i="1"/>
  <c r="F97" i="1"/>
  <c r="G97" i="1"/>
  <c r="H97" i="1"/>
  <c r="I97" i="1"/>
  <c r="J97" i="1"/>
  <c r="K97" i="1"/>
  <c r="L97" i="1"/>
  <c r="D88" i="1"/>
  <c r="E88" i="1"/>
  <c r="F88" i="1"/>
  <c r="G88" i="1"/>
  <c r="H88" i="1"/>
  <c r="I88" i="1"/>
  <c r="J88" i="1"/>
  <c r="K88" i="1"/>
  <c r="L88" i="1"/>
  <c r="C88" i="1"/>
  <c r="C77" i="1"/>
  <c r="D77" i="1"/>
  <c r="E77" i="1"/>
  <c r="F77" i="1"/>
  <c r="G77" i="1"/>
  <c r="H77" i="1"/>
  <c r="I77" i="1"/>
  <c r="J77" i="1"/>
  <c r="K77" i="1"/>
  <c r="L77" i="1"/>
  <c r="C78" i="1"/>
  <c r="D78" i="1"/>
  <c r="E78" i="1"/>
  <c r="F78" i="1"/>
  <c r="G78" i="1"/>
  <c r="H78" i="1"/>
  <c r="I78" i="1"/>
  <c r="J78" i="1"/>
  <c r="K78" i="1"/>
  <c r="L78" i="1"/>
  <c r="C79" i="1"/>
  <c r="D79" i="1"/>
  <c r="E79" i="1"/>
  <c r="F79" i="1"/>
  <c r="G79" i="1"/>
  <c r="H79" i="1"/>
  <c r="I79" i="1"/>
  <c r="J79" i="1"/>
  <c r="K79" i="1"/>
  <c r="L79" i="1"/>
  <c r="C80" i="1"/>
  <c r="D80" i="1"/>
  <c r="E80" i="1"/>
  <c r="F80" i="1"/>
  <c r="G80" i="1"/>
  <c r="H80" i="1"/>
  <c r="I80" i="1"/>
  <c r="J80" i="1"/>
  <c r="K80" i="1"/>
  <c r="L80" i="1"/>
  <c r="C81" i="1"/>
  <c r="D81" i="1"/>
  <c r="E81" i="1"/>
  <c r="F81" i="1"/>
  <c r="G81" i="1"/>
  <c r="H81" i="1"/>
  <c r="I81" i="1"/>
  <c r="J81" i="1"/>
  <c r="K81" i="1"/>
  <c r="L81" i="1"/>
  <c r="C82" i="1"/>
  <c r="D82" i="1"/>
  <c r="E82" i="1"/>
  <c r="F82" i="1"/>
  <c r="G82" i="1"/>
  <c r="H82" i="1"/>
  <c r="I82" i="1"/>
  <c r="J82" i="1"/>
  <c r="K82" i="1"/>
  <c r="L82" i="1"/>
  <c r="C83" i="1"/>
  <c r="D83" i="1"/>
  <c r="E83" i="1"/>
  <c r="F83" i="1"/>
  <c r="G83" i="1"/>
  <c r="H83" i="1"/>
  <c r="I83" i="1"/>
  <c r="J83" i="1"/>
  <c r="K83" i="1"/>
  <c r="L83" i="1"/>
  <c r="C84" i="1"/>
  <c r="D84" i="1"/>
  <c r="E84" i="1"/>
  <c r="F84" i="1"/>
  <c r="G84" i="1"/>
  <c r="H84" i="1"/>
  <c r="I84" i="1"/>
  <c r="J84" i="1"/>
  <c r="K84" i="1"/>
  <c r="L84" i="1"/>
  <c r="D76" i="1"/>
  <c r="E76" i="1"/>
  <c r="F76" i="1"/>
  <c r="G76" i="1"/>
  <c r="H76" i="1"/>
  <c r="I76" i="1"/>
  <c r="J76" i="1"/>
  <c r="K76" i="1"/>
  <c r="L76" i="1"/>
  <c r="C76" i="1"/>
  <c r="I107" i="1" l="1"/>
  <c r="K98" i="1"/>
  <c r="G107" i="1"/>
  <c r="I98" i="1"/>
  <c r="E85" i="1"/>
  <c r="G98" i="1"/>
  <c r="C107" i="1"/>
  <c r="E107" i="1"/>
  <c r="H98" i="1"/>
  <c r="K85" i="1"/>
  <c r="C98" i="1"/>
  <c r="E98" i="1"/>
  <c r="J98" i="1"/>
  <c r="K107" i="1"/>
  <c r="H107" i="1"/>
  <c r="D107" i="1"/>
  <c r="L98" i="1"/>
  <c r="D98" i="1"/>
  <c r="J107" i="1"/>
  <c r="C85" i="1"/>
  <c r="L107" i="1"/>
  <c r="F107" i="1"/>
  <c r="F98" i="1"/>
  <c r="L85" i="1"/>
  <c r="D85" i="1"/>
  <c r="J85" i="1"/>
  <c r="I85" i="1"/>
  <c r="H85" i="1"/>
  <c r="G85" i="1"/>
  <c r="F85" i="1"/>
  <c r="D62" i="1"/>
  <c r="E62" i="1"/>
  <c r="F62" i="1"/>
  <c r="G62" i="1"/>
  <c r="H62" i="1"/>
  <c r="I62" i="1"/>
  <c r="J62" i="1"/>
  <c r="K62" i="1"/>
  <c r="L62" i="1"/>
  <c r="C62" i="1"/>
  <c r="C59" i="1"/>
  <c r="D59" i="1"/>
  <c r="E59" i="1"/>
  <c r="F59" i="1"/>
  <c r="G59" i="1"/>
  <c r="H59" i="1"/>
  <c r="I59" i="1"/>
  <c r="J59" i="1"/>
  <c r="K59" i="1"/>
  <c r="L59" i="1"/>
  <c r="C66" i="1"/>
  <c r="D66" i="1"/>
  <c r="E66" i="1"/>
  <c r="F66" i="1"/>
  <c r="G66" i="1"/>
  <c r="H66" i="1"/>
  <c r="I66" i="1"/>
  <c r="J66" i="1"/>
  <c r="K66" i="1"/>
  <c r="L66" i="1"/>
  <c r="C67" i="1"/>
  <c r="D67" i="1"/>
  <c r="E67" i="1"/>
  <c r="F67" i="1"/>
  <c r="G67" i="1"/>
  <c r="H67" i="1"/>
  <c r="I67" i="1"/>
  <c r="J67" i="1"/>
  <c r="K67" i="1"/>
  <c r="L67" i="1"/>
  <c r="D65" i="1"/>
  <c r="E65" i="1"/>
  <c r="F65" i="1"/>
  <c r="G65" i="1"/>
  <c r="H65" i="1"/>
  <c r="I65" i="1"/>
  <c r="J65" i="1"/>
  <c r="K65" i="1"/>
  <c r="L65" i="1"/>
  <c r="C65" i="1"/>
  <c r="D60" i="1"/>
  <c r="E60" i="1"/>
  <c r="F60" i="1"/>
  <c r="G60" i="1"/>
  <c r="H60" i="1"/>
  <c r="I60" i="1"/>
  <c r="J60" i="1"/>
  <c r="K60" i="1"/>
  <c r="L60" i="1"/>
  <c r="D61" i="1"/>
  <c r="E61" i="1"/>
  <c r="F61" i="1"/>
  <c r="G61" i="1"/>
  <c r="H61" i="1"/>
  <c r="I61" i="1"/>
  <c r="J61" i="1"/>
  <c r="K61" i="1"/>
  <c r="L61" i="1"/>
  <c r="C60" i="1"/>
  <c r="C61" i="1"/>
  <c r="D53" i="1"/>
  <c r="E53" i="1"/>
  <c r="F53" i="1"/>
  <c r="G53" i="1"/>
  <c r="H53" i="1"/>
  <c r="I53" i="1"/>
  <c r="J53" i="1"/>
  <c r="K53" i="1"/>
  <c r="L53" i="1"/>
  <c r="D54" i="1"/>
  <c r="E54" i="1"/>
  <c r="F54" i="1"/>
  <c r="G54" i="1"/>
  <c r="H54" i="1"/>
  <c r="I54" i="1"/>
  <c r="J54" i="1"/>
  <c r="K54" i="1"/>
  <c r="L54" i="1"/>
  <c r="D55" i="1"/>
  <c r="E55" i="1"/>
  <c r="F55" i="1"/>
  <c r="G55" i="1"/>
  <c r="H55" i="1"/>
  <c r="I55" i="1"/>
  <c r="J55" i="1"/>
  <c r="K55" i="1"/>
  <c r="L55" i="1"/>
  <c r="D56" i="1"/>
  <c r="E56" i="1"/>
  <c r="F56" i="1"/>
  <c r="G56" i="1"/>
  <c r="H56" i="1"/>
  <c r="I56" i="1"/>
  <c r="J56" i="1"/>
  <c r="K56" i="1"/>
  <c r="L56" i="1"/>
  <c r="C54" i="1"/>
  <c r="C55" i="1"/>
  <c r="C56" i="1"/>
  <c r="C53" i="1"/>
  <c r="D42" i="1"/>
  <c r="D47" i="1" s="1"/>
  <c r="E42" i="1"/>
  <c r="E47" i="1" s="1"/>
  <c r="E9" i="3" s="1"/>
  <c r="F42" i="1"/>
  <c r="F47" i="1" s="1"/>
  <c r="G42" i="1"/>
  <c r="G47" i="1" s="1"/>
  <c r="G9" i="3" s="1"/>
  <c r="H42" i="1"/>
  <c r="H47" i="1" s="1"/>
  <c r="I42" i="1"/>
  <c r="I47" i="1" s="1"/>
  <c r="I9" i="3" s="1"/>
  <c r="J42" i="1"/>
  <c r="J47" i="1" s="1"/>
  <c r="J9" i="3" s="1"/>
  <c r="K42" i="1"/>
  <c r="K47" i="1" s="1"/>
  <c r="K9" i="3" s="1"/>
  <c r="L42" i="1"/>
  <c r="L47" i="1" s="1"/>
  <c r="L9" i="3" s="1"/>
  <c r="C42" i="1"/>
  <c r="C47" i="1" s="1"/>
  <c r="M35" i="1"/>
  <c r="F9" i="3" l="1"/>
  <c r="F41" i="3"/>
  <c r="D9" i="3"/>
  <c r="G41" i="3"/>
  <c r="E41" i="3"/>
  <c r="H41" i="3"/>
  <c r="C41" i="3"/>
  <c r="I41" i="3"/>
  <c r="L41" i="3"/>
  <c r="J41" i="3"/>
  <c r="K41" i="3"/>
  <c r="H9" i="3"/>
  <c r="D41" i="3"/>
  <c r="G109" i="1"/>
  <c r="K109" i="1"/>
  <c r="F109" i="1"/>
  <c r="I109" i="1"/>
  <c r="L109" i="1"/>
  <c r="J109" i="1"/>
  <c r="D109" i="1"/>
  <c r="K68" i="1"/>
  <c r="H109" i="1"/>
  <c r="C109" i="1"/>
  <c r="E109" i="1"/>
  <c r="L68" i="1"/>
  <c r="D68" i="1"/>
  <c r="E57" i="1"/>
  <c r="G68" i="1"/>
  <c r="F57" i="1"/>
  <c r="H63" i="1"/>
  <c r="D63" i="1"/>
  <c r="K63" i="1"/>
  <c r="L63" i="1"/>
  <c r="L70" i="1" s="1"/>
  <c r="L40" i="3" s="1"/>
  <c r="L57" i="1"/>
  <c r="D57" i="1"/>
  <c r="J63" i="1"/>
  <c r="I68" i="1"/>
  <c r="C57" i="1"/>
  <c r="K57" i="1"/>
  <c r="I63" i="1"/>
  <c r="H68" i="1"/>
  <c r="J57" i="1"/>
  <c r="J68" i="1"/>
  <c r="I57" i="1"/>
  <c r="C63" i="1"/>
  <c r="G63" i="1"/>
  <c r="F68" i="1"/>
  <c r="H57" i="1"/>
  <c r="F63" i="1"/>
  <c r="C68" i="1"/>
  <c r="E68" i="1"/>
  <c r="G57" i="1"/>
  <c r="E63" i="1"/>
  <c r="D35" i="1"/>
  <c r="E35" i="1"/>
  <c r="F35" i="1"/>
  <c r="G35" i="1"/>
  <c r="H35" i="1"/>
  <c r="I35" i="1"/>
  <c r="J35" i="1"/>
  <c r="K35" i="1"/>
  <c r="L35" i="1"/>
  <c r="C35" i="1"/>
  <c r="M29" i="1"/>
  <c r="D29" i="1"/>
  <c r="E29" i="1"/>
  <c r="F29" i="1"/>
  <c r="G29" i="1"/>
  <c r="H29" i="1"/>
  <c r="I29" i="1"/>
  <c r="J29" i="1"/>
  <c r="K29" i="1"/>
  <c r="L29" i="1"/>
  <c r="C29" i="1"/>
  <c r="M20" i="1"/>
  <c r="D20" i="1"/>
  <c r="E20" i="1"/>
  <c r="F20" i="1"/>
  <c r="G20" i="1"/>
  <c r="H20" i="1"/>
  <c r="I20" i="1"/>
  <c r="J20" i="1"/>
  <c r="K20" i="1"/>
  <c r="L20" i="1"/>
  <c r="C20" i="1"/>
  <c r="C14" i="1"/>
  <c r="D14" i="1"/>
  <c r="E14" i="1"/>
  <c r="F14" i="1"/>
  <c r="G14" i="1"/>
  <c r="H14" i="1"/>
  <c r="I14" i="1"/>
  <c r="J14" i="1"/>
  <c r="K14" i="1"/>
  <c r="L14" i="1"/>
  <c r="M8" i="1"/>
  <c r="D8" i="1"/>
  <c r="D29" i="3" s="1"/>
  <c r="D36" i="3" s="1"/>
  <c r="E8" i="1"/>
  <c r="E29" i="3" s="1"/>
  <c r="E36" i="3" s="1"/>
  <c r="F8" i="1"/>
  <c r="F29" i="3" s="1"/>
  <c r="F36" i="3" s="1"/>
  <c r="G8" i="1"/>
  <c r="G29" i="3" s="1"/>
  <c r="G36" i="3" s="1"/>
  <c r="H8" i="1"/>
  <c r="H29" i="3" s="1"/>
  <c r="H36" i="3" s="1"/>
  <c r="I8" i="1"/>
  <c r="I29" i="3" s="1"/>
  <c r="I36" i="3" s="1"/>
  <c r="J8" i="1"/>
  <c r="J29" i="3" s="1"/>
  <c r="J36" i="3" s="1"/>
  <c r="K8" i="1"/>
  <c r="K29" i="3" s="1"/>
  <c r="K36" i="3" s="1"/>
  <c r="L8" i="1"/>
  <c r="L29" i="3" s="1"/>
  <c r="L36" i="3" s="1"/>
  <c r="U10" i="13" s="1"/>
  <c r="C8" i="1"/>
  <c r="C29" i="3" s="1"/>
  <c r="M5" i="1"/>
  <c r="M27" i="1" s="1"/>
  <c r="D5" i="1"/>
  <c r="D6" i="11" s="1"/>
  <c r="E5" i="1"/>
  <c r="F5" i="1"/>
  <c r="F6" i="11" s="1"/>
  <c r="G5" i="1"/>
  <c r="H5" i="1"/>
  <c r="I5" i="1"/>
  <c r="I6" i="11" s="1"/>
  <c r="J5" i="1"/>
  <c r="J6" i="11" s="1"/>
  <c r="K5" i="1"/>
  <c r="L5" i="1"/>
  <c r="L6" i="11" s="1"/>
  <c r="D3" i="1"/>
  <c r="E3" i="1"/>
  <c r="F3" i="1"/>
  <c r="G3" i="1"/>
  <c r="H3" i="1"/>
  <c r="I3" i="1"/>
  <c r="J3" i="1"/>
  <c r="K3" i="1"/>
  <c r="L3" i="1"/>
  <c r="C3" i="1"/>
  <c r="B2" i="1"/>
  <c r="C5" i="1"/>
  <c r="E1" i="7"/>
  <c r="B6" i="7"/>
  <c r="H39" i="3" l="1"/>
  <c r="H6" i="11"/>
  <c r="F27" i="11"/>
  <c r="F5" i="11"/>
  <c r="C27" i="11"/>
  <c r="C5" i="11"/>
  <c r="L5" i="11"/>
  <c r="M5" i="11" s="1"/>
  <c r="N5" i="11" s="1"/>
  <c r="O5" i="11" s="1"/>
  <c r="P5" i="11" s="1"/>
  <c r="Q5" i="11" s="1"/>
  <c r="R5" i="11" s="1"/>
  <c r="L27" i="11"/>
  <c r="M27" i="11" s="1"/>
  <c r="N27" i="11" s="1"/>
  <c r="O27" i="11" s="1"/>
  <c r="P27" i="11" s="1"/>
  <c r="Q27" i="11" s="1"/>
  <c r="R27" i="11" s="1"/>
  <c r="E5" i="11"/>
  <c r="E27" i="11"/>
  <c r="N41" i="3"/>
  <c r="O41" i="3"/>
  <c r="D27" i="11"/>
  <c r="D5" i="11"/>
  <c r="E39" i="3"/>
  <c r="E6" i="11"/>
  <c r="E7" i="11" s="1"/>
  <c r="K5" i="11"/>
  <c r="K27" i="11"/>
  <c r="G5" i="11"/>
  <c r="G27" i="11"/>
  <c r="I27" i="11"/>
  <c r="I5" i="11"/>
  <c r="J7" i="11"/>
  <c r="C36" i="3"/>
  <c r="O29" i="3"/>
  <c r="N29" i="3"/>
  <c r="J39" i="3"/>
  <c r="C39" i="3"/>
  <c r="C6" i="11"/>
  <c r="D7" i="11" s="1"/>
  <c r="G39" i="3"/>
  <c r="G6" i="11"/>
  <c r="G7" i="11" s="1"/>
  <c r="J5" i="11"/>
  <c r="J27" i="11"/>
  <c r="K39" i="3"/>
  <c r="K6" i="11"/>
  <c r="K7" i="11" s="1"/>
  <c r="H27" i="11"/>
  <c r="H5" i="11"/>
  <c r="I7" i="11"/>
  <c r="O9" i="3"/>
  <c r="N9" i="3"/>
  <c r="L27" i="1"/>
  <c r="L30" i="3"/>
  <c r="L27" i="3"/>
  <c r="L34" i="3" s="1"/>
  <c r="L31" i="3"/>
  <c r="D27" i="1"/>
  <c r="D31" i="3"/>
  <c r="D27" i="3"/>
  <c r="D34" i="3" s="1"/>
  <c r="D30" i="3"/>
  <c r="D39" i="3"/>
  <c r="J27" i="1"/>
  <c r="J27" i="3"/>
  <c r="J34" i="3" s="1"/>
  <c r="J30" i="3"/>
  <c r="J31" i="3"/>
  <c r="I27" i="1"/>
  <c r="I27" i="3"/>
  <c r="I34" i="3" s="1"/>
  <c r="I31" i="3"/>
  <c r="I30" i="3"/>
  <c r="L39" i="3"/>
  <c r="E27" i="1"/>
  <c r="E31" i="3"/>
  <c r="E27" i="3"/>
  <c r="E34" i="3" s="1"/>
  <c r="E30" i="3"/>
  <c r="K27" i="1"/>
  <c r="K30" i="3"/>
  <c r="K31" i="3"/>
  <c r="K27" i="3"/>
  <c r="K34" i="3" s="1"/>
  <c r="C27" i="1"/>
  <c r="C31" i="3"/>
  <c r="C30" i="3"/>
  <c r="H27" i="1"/>
  <c r="H30" i="3"/>
  <c r="H27" i="3"/>
  <c r="H34" i="3" s="1"/>
  <c r="H31" i="3"/>
  <c r="I39" i="3"/>
  <c r="G27" i="1"/>
  <c r="G30" i="3"/>
  <c r="G31" i="3"/>
  <c r="G27" i="3"/>
  <c r="G34" i="3" s="1"/>
  <c r="F27" i="1"/>
  <c r="F30" i="3"/>
  <c r="F31" i="3"/>
  <c r="F27" i="3"/>
  <c r="F34" i="3" s="1"/>
  <c r="F39" i="3"/>
  <c r="K70" i="1"/>
  <c r="K40" i="3" s="1"/>
  <c r="I70" i="1"/>
  <c r="D70" i="1"/>
  <c r="F70" i="1"/>
  <c r="L72" i="1"/>
  <c r="G70" i="1"/>
  <c r="H70" i="1"/>
  <c r="E70" i="1"/>
  <c r="C70" i="1"/>
  <c r="J70" i="1"/>
  <c r="J15" i="1"/>
  <c r="J17" i="3" s="1"/>
  <c r="F30" i="1"/>
  <c r="F15" i="1"/>
  <c r="F17" i="3" s="1"/>
  <c r="M21" i="1"/>
  <c r="L21" i="1"/>
  <c r="L18" i="3" s="1"/>
  <c r="D21" i="1"/>
  <c r="D18" i="3" s="1"/>
  <c r="G30" i="1"/>
  <c r="C30" i="1"/>
  <c r="F21" i="1"/>
  <c r="F18" i="3" s="1"/>
  <c r="C21" i="1"/>
  <c r="C18" i="3" s="1"/>
  <c r="E15" i="1"/>
  <c r="E17" i="3" s="1"/>
  <c r="J21" i="1"/>
  <c r="J18" i="3" s="1"/>
  <c r="H30" i="1"/>
  <c r="I21" i="1"/>
  <c r="I18" i="3" s="1"/>
  <c r="H21" i="1"/>
  <c r="H18" i="3" s="1"/>
  <c r="K15" i="1"/>
  <c r="K17" i="3" s="1"/>
  <c r="C15" i="1"/>
  <c r="C17" i="3" s="1"/>
  <c r="G21" i="1"/>
  <c r="G18" i="3" s="1"/>
  <c r="L30" i="1"/>
  <c r="D30" i="1"/>
  <c r="E30" i="1"/>
  <c r="M23" i="1"/>
  <c r="K30" i="1"/>
  <c r="L15" i="1"/>
  <c r="L17" i="3" s="1"/>
  <c r="D15" i="1"/>
  <c r="D17" i="3" s="1"/>
  <c r="I15" i="1"/>
  <c r="I17" i="3" s="1"/>
  <c r="J30" i="1"/>
  <c r="M30" i="1"/>
  <c r="I30" i="1"/>
  <c r="G15" i="1"/>
  <c r="G17" i="3" s="1"/>
  <c r="K21" i="1"/>
  <c r="K18" i="3" s="1"/>
  <c r="E21" i="1"/>
  <c r="E18" i="3" s="1"/>
  <c r="H15" i="1"/>
  <c r="H17" i="3" s="1"/>
  <c r="M18" i="1"/>
  <c r="M11" i="1"/>
  <c r="M12" i="1" s="1"/>
  <c r="L7" i="11" l="1"/>
  <c r="F12" i="11"/>
  <c r="M20" i="11" s="1"/>
  <c r="N20" i="11" s="1"/>
  <c r="O20" i="11" s="1"/>
  <c r="P20" i="11" s="1"/>
  <c r="Q20" i="11" s="1"/>
  <c r="R20" i="11" s="1"/>
  <c r="F13" i="11" a="1"/>
  <c r="F13" i="11" s="1"/>
  <c r="M21" i="11" s="1"/>
  <c r="N21" i="11" s="1"/>
  <c r="O21" i="11" s="1"/>
  <c r="P21" i="11" s="1"/>
  <c r="Q21" i="11" s="1"/>
  <c r="R21" i="11" s="1"/>
  <c r="C34" i="3"/>
  <c r="N27" i="3"/>
  <c r="O27" i="3"/>
  <c r="O30" i="3"/>
  <c r="N30" i="3"/>
  <c r="N36" i="3"/>
  <c r="V10" i="13" s="1"/>
  <c r="W10" i="13" s="1"/>
  <c r="O31" i="3"/>
  <c r="N31" i="3"/>
  <c r="N39" i="3"/>
  <c r="O39" i="3"/>
  <c r="F7" i="11"/>
  <c r="H7" i="11"/>
  <c r="O18" i="3"/>
  <c r="N18" i="3"/>
  <c r="O17" i="3"/>
  <c r="N17" i="3"/>
  <c r="D72" i="1"/>
  <c r="D40" i="3"/>
  <c r="I72" i="1"/>
  <c r="I40" i="3"/>
  <c r="C72" i="1"/>
  <c r="C40" i="3"/>
  <c r="E72" i="1"/>
  <c r="E40" i="3"/>
  <c r="H72" i="1"/>
  <c r="H40" i="3"/>
  <c r="J72" i="1"/>
  <c r="J40" i="3"/>
  <c r="G72" i="1"/>
  <c r="G40" i="3"/>
  <c r="F72" i="1"/>
  <c r="F40" i="3"/>
  <c r="K72" i="1"/>
  <c r="M24" i="1"/>
  <c r="M32" i="1"/>
  <c r="M36" i="1" s="1"/>
  <c r="M9" i="1"/>
  <c r="F11" i="11" l="1"/>
  <c r="M19" i="11" s="1"/>
  <c r="O34" i="3"/>
  <c r="N34" i="3"/>
  <c r="O40" i="3"/>
  <c r="N40" i="3"/>
  <c r="M39" i="1"/>
  <c r="M40" i="1" s="1"/>
  <c r="M33" i="1"/>
  <c r="I6" i="1"/>
  <c r="I5" i="3" s="1"/>
  <c r="I9" i="1"/>
  <c r="I11" i="1"/>
  <c r="E11" i="1"/>
  <c r="E9" i="1"/>
  <c r="H6" i="1"/>
  <c r="H5" i="3" s="1"/>
  <c r="H9" i="1"/>
  <c r="H11" i="1"/>
  <c r="G11" i="1"/>
  <c r="G6" i="1"/>
  <c r="G5" i="3" s="1"/>
  <c r="G9" i="1"/>
  <c r="E6" i="1"/>
  <c r="E5" i="3" s="1"/>
  <c r="C11" i="1"/>
  <c r="C9" i="1"/>
  <c r="F6" i="1"/>
  <c r="F5" i="3" s="1"/>
  <c r="F9" i="1"/>
  <c r="F11" i="1"/>
  <c r="N19" i="11" l="1"/>
  <c r="O19" i="11" s="1"/>
  <c r="P19" i="11" s="1"/>
  <c r="Q19" i="11" s="1"/>
  <c r="R19" i="11" s="1"/>
  <c r="M6" i="11" a="1"/>
  <c r="M44" i="1"/>
  <c r="G12" i="1"/>
  <c r="G11" i="3" s="1"/>
  <c r="G17" i="1"/>
  <c r="G28" i="11" s="1"/>
  <c r="H12" i="1"/>
  <c r="H11" i="3" s="1"/>
  <c r="H17" i="1"/>
  <c r="F12" i="1"/>
  <c r="F11" i="3" s="1"/>
  <c r="F17" i="1"/>
  <c r="C12" i="1"/>
  <c r="C11" i="3" s="1"/>
  <c r="C17" i="1"/>
  <c r="C28" i="11" s="1"/>
  <c r="E12" i="1"/>
  <c r="E11" i="3" s="1"/>
  <c r="E17" i="1"/>
  <c r="E28" i="11" s="1"/>
  <c r="I12" i="1"/>
  <c r="I11" i="3" s="1"/>
  <c r="I17" i="1"/>
  <c r="I28" i="11" s="1"/>
  <c r="J11" i="1"/>
  <c r="J9" i="1"/>
  <c r="J6" i="1"/>
  <c r="J5" i="3" s="1"/>
  <c r="K6" i="1"/>
  <c r="K5" i="3" s="1"/>
  <c r="K9" i="1"/>
  <c r="K11" i="1"/>
  <c r="D6" i="1"/>
  <c r="D5" i="3" s="1"/>
  <c r="D11" i="1"/>
  <c r="D9" i="1"/>
  <c r="M6" i="1"/>
  <c r="L6" i="1"/>
  <c r="L5" i="3" s="1"/>
  <c r="U3" i="13" s="1"/>
  <c r="L9" i="1"/>
  <c r="L11" i="1"/>
  <c r="E29" i="11" l="1"/>
  <c r="G29" i="11"/>
  <c r="C29" i="11"/>
  <c r="F6" i="3"/>
  <c r="F28" i="11"/>
  <c r="G30" i="11" s="1"/>
  <c r="R7" i="11"/>
  <c r="O7" i="11"/>
  <c r="M6" i="11"/>
  <c r="M7" i="11" s="1"/>
  <c r="E12" i="12" s="1"/>
  <c r="Q7" i="11"/>
  <c r="P7" i="11"/>
  <c r="I29" i="11"/>
  <c r="H6" i="3"/>
  <c r="H28" i="11"/>
  <c r="O5" i="3"/>
  <c r="N5" i="3"/>
  <c r="V3" i="13" s="1"/>
  <c r="W3" i="13" s="1"/>
  <c r="G6" i="3"/>
  <c r="I6" i="3"/>
  <c r="C23" i="1"/>
  <c r="C18" i="1"/>
  <c r="C12" i="3" s="1"/>
  <c r="I23" i="1"/>
  <c r="I18" i="1"/>
  <c r="I12" i="3" s="1"/>
  <c r="F18" i="1"/>
  <c r="F12" i="3" s="1"/>
  <c r="F23" i="1"/>
  <c r="J12" i="1"/>
  <c r="J11" i="3" s="1"/>
  <c r="J17" i="1"/>
  <c r="D12" i="1"/>
  <c r="D11" i="3" s="1"/>
  <c r="D17" i="1"/>
  <c r="H18" i="1"/>
  <c r="H12" i="3" s="1"/>
  <c r="H23" i="1"/>
  <c r="K12" i="1"/>
  <c r="K11" i="3" s="1"/>
  <c r="K17" i="1"/>
  <c r="K28" i="11" s="1"/>
  <c r="E23" i="1"/>
  <c r="E18" i="1"/>
  <c r="E12" i="3" s="1"/>
  <c r="G18" i="1"/>
  <c r="G12" i="3" s="1"/>
  <c r="G23" i="1"/>
  <c r="L12" i="1"/>
  <c r="L11" i="3" s="1"/>
  <c r="L17" i="1"/>
  <c r="D12" i="12" l="1"/>
  <c r="C12" i="12" s="1"/>
  <c r="F12" i="12"/>
  <c r="G12" i="12" s="1"/>
  <c r="G3" i="12"/>
  <c r="Q18" i="13" s="1"/>
  <c r="N18" i="13" s="1"/>
  <c r="G6" i="12"/>
  <c r="N7" i="11"/>
  <c r="H30" i="11"/>
  <c r="H29" i="11"/>
  <c r="K29" i="11"/>
  <c r="L6" i="3"/>
  <c r="L28" i="11"/>
  <c r="F35" i="11" s="1"/>
  <c r="O11" i="3"/>
  <c r="I30" i="11"/>
  <c r="F30" i="11"/>
  <c r="F29" i="11"/>
  <c r="D6" i="3"/>
  <c r="D28" i="11"/>
  <c r="J6" i="3"/>
  <c r="J28" i="11"/>
  <c r="K30" i="11" s="1"/>
  <c r="N11" i="3"/>
  <c r="E6" i="3"/>
  <c r="C32" i="1"/>
  <c r="C25" i="3"/>
  <c r="C21" i="3"/>
  <c r="E32" i="1"/>
  <c r="E7" i="3"/>
  <c r="E25" i="3"/>
  <c r="E21" i="3"/>
  <c r="H32" i="1"/>
  <c r="H25" i="3"/>
  <c r="H7" i="3"/>
  <c r="H21" i="3"/>
  <c r="I32" i="1"/>
  <c r="I7" i="3"/>
  <c r="I25" i="3"/>
  <c r="I21" i="3"/>
  <c r="G32" i="1"/>
  <c r="G25" i="3"/>
  <c r="G21" i="3"/>
  <c r="G7" i="3"/>
  <c r="K6" i="3"/>
  <c r="F32" i="1"/>
  <c r="F21" i="3"/>
  <c r="F25" i="3"/>
  <c r="F7" i="3"/>
  <c r="D23" i="1"/>
  <c r="D18" i="1"/>
  <c r="D12" i="3" s="1"/>
  <c r="E24" i="1"/>
  <c r="E13" i="3" s="1"/>
  <c r="E19" i="3" s="1"/>
  <c r="G24" i="1"/>
  <c r="G13" i="3" s="1"/>
  <c r="G19" i="3" s="1"/>
  <c r="K23" i="1"/>
  <c r="K18" i="1"/>
  <c r="K12" i="3" s="1"/>
  <c r="C24" i="1"/>
  <c r="C13" i="3" s="1"/>
  <c r="J23" i="1"/>
  <c r="J18" i="1"/>
  <c r="J12" i="3" s="1"/>
  <c r="F24" i="1"/>
  <c r="F13" i="3" s="1"/>
  <c r="F19" i="3" s="1"/>
  <c r="L23" i="1"/>
  <c r="L18" i="1"/>
  <c r="L12" i="3" s="1"/>
  <c r="U4" i="13" s="1"/>
  <c r="H24" i="1"/>
  <c r="H13" i="3" s="1"/>
  <c r="H19" i="3" s="1"/>
  <c r="I24" i="1"/>
  <c r="I13" i="3" s="1"/>
  <c r="I19" i="3" s="1"/>
  <c r="O6" i="3" l="1"/>
  <c r="F36" i="11" a="1"/>
  <c r="F36" i="11" s="1"/>
  <c r="M44" i="11" s="1"/>
  <c r="N44" i="11" s="1"/>
  <c r="O44" i="11" s="1"/>
  <c r="P44" i="11" s="1"/>
  <c r="Q44" i="11" s="1"/>
  <c r="R44" i="11" s="1"/>
  <c r="N6" i="3"/>
  <c r="D30" i="11"/>
  <c r="D29" i="11"/>
  <c r="E30" i="11"/>
  <c r="O12" i="3"/>
  <c r="J30" i="11"/>
  <c r="J29" i="11"/>
  <c r="L30" i="11"/>
  <c r="L29" i="11"/>
  <c r="M43" i="11"/>
  <c r="N43" i="11" s="1"/>
  <c r="O43" i="11" s="1"/>
  <c r="P43" i="11" s="1"/>
  <c r="Q43" i="11" s="1"/>
  <c r="R43" i="11" s="1"/>
  <c r="C19" i="3"/>
  <c r="N12" i="3"/>
  <c r="V4" i="13" s="1"/>
  <c r="W4" i="13" s="1"/>
  <c r="L32" i="1"/>
  <c r="L7" i="3"/>
  <c r="L25" i="3"/>
  <c r="U9" i="13" s="1"/>
  <c r="L21" i="3"/>
  <c r="U6" i="13" s="1"/>
  <c r="D32" i="1"/>
  <c r="D7" i="3"/>
  <c r="D21" i="3"/>
  <c r="D25" i="3"/>
  <c r="K32" i="1"/>
  <c r="K7" i="3"/>
  <c r="K25" i="3"/>
  <c r="K21" i="3"/>
  <c r="J32" i="1"/>
  <c r="J21" i="3"/>
  <c r="J7" i="3"/>
  <c r="J25" i="3"/>
  <c r="F33" i="1"/>
  <c r="F14" i="3" s="1"/>
  <c r="F36" i="1"/>
  <c r="J24" i="1"/>
  <c r="J13" i="3" s="1"/>
  <c r="J19" i="3" s="1"/>
  <c r="E33" i="1"/>
  <c r="E14" i="3" s="1"/>
  <c r="E36" i="1"/>
  <c r="H33" i="1"/>
  <c r="H14" i="3" s="1"/>
  <c r="H36" i="1"/>
  <c r="C33" i="1"/>
  <c r="C14" i="3" s="1"/>
  <c r="C23" i="3"/>
  <c r="C36" i="1"/>
  <c r="D24" i="1"/>
  <c r="D13" i="3" s="1"/>
  <c r="D19" i="3" s="1"/>
  <c r="L24" i="1"/>
  <c r="L13" i="3" s="1"/>
  <c r="L19" i="3" s="1"/>
  <c r="K24" i="1"/>
  <c r="K13" i="3" s="1"/>
  <c r="K19" i="3" s="1"/>
  <c r="G33" i="1"/>
  <c r="G14" i="3" s="1"/>
  <c r="G36" i="1"/>
  <c r="I33" i="1"/>
  <c r="I14" i="3" s="1"/>
  <c r="I36" i="1"/>
  <c r="O21" i="3" l="1"/>
  <c r="O25" i="3"/>
  <c r="F34" i="11"/>
  <c r="M42" i="11" s="1"/>
  <c r="N21" i="3"/>
  <c r="V6" i="13" s="1"/>
  <c r="W6" i="13" s="1"/>
  <c r="N25" i="3"/>
  <c r="V9" i="13" s="1"/>
  <c r="W9" i="13" s="1"/>
  <c r="O7" i="3"/>
  <c r="N7" i="3"/>
  <c r="N13" i="3"/>
  <c r="O13" i="3"/>
  <c r="O19" i="3"/>
  <c r="N19" i="3"/>
  <c r="G23" i="3"/>
  <c r="G8" i="3"/>
  <c r="F23" i="3"/>
  <c r="F8" i="3"/>
  <c r="E8" i="3"/>
  <c r="E23" i="3"/>
  <c r="I23" i="3"/>
  <c r="I8" i="3"/>
  <c r="H8" i="3"/>
  <c r="H23" i="3"/>
  <c r="L33" i="1"/>
  <c r="L14" i="3" s="1"/>
  <c r="L36" i="1"/>
  <c r="I40" i="1"/>
  <c r="I15" i="3" s="1"/>
  <c r="I44" i="1"/>
  <c r="E44" i="1"/>
  <c r="E40" i="1"/>
  <c r="E15" i="3" s="1"/>
  <c r="C44" i="1"/>
  <c r="C40" i="1"/>
  <c r="C15" i="3" s="1"/>
  <c r="D33" i="1"/>
  <c r="D14" i="3" s="1"/>
  <c r="D36" i="1"/>
  <c r="G40" i="1"/>
  <c r="G15" i="3" s="1"/>
  <c r="G44" i="1"/>
  <c r="J33" i="1"/>
  <c r="J14" i="3" s="1"/>
  <c r="J36" i="1"/>
  <c r="K33" i="1"/>
  <c r="K14" i="3" s="1"/>
  <c r="K36" i="1"/>
  <c r="H40" i="1"/>
  <c r="H15" i="3" s="1"/>
  <c r="H44" i="1"/>
  <c r="F44" i="1"/>
  <c r="F40" i="1"/>
  <c r="F15" i="3" s="1"/>
  <c r="N14" i="3" l="1"/>
  <c r="O14" i="3"/>
  <c r="N42" i="11"/>
  <c r="O42" i="11" s="1"/>
  <c r="P42" i="11" s="1"/>
  <c r="Q42" i="11" s="1"/>
  <c r="R42" i="11" s="1"/>
  <c r="M28" i="11" a="1"/>
  <c r="K23" i="3"/>
  <c r="K8" i="3"/>
  <c r="L8" i="3"/>
  <c r="L23" i="3"/>
  <c r="U7" i="13" s="1"/>
  <c r="D8" i="3"/>
  <c r="D23" i="3"/>
  <c r="J23" i="3"/>
  <c r="J8" i="3"/>
  <c r="H45" i="1"/>
  <c r="H48" i="1"/>
  <c r="H50" i="1" s="1"/>
  <c r="H22" i="3" s="1"/>
  <c r="H24" i="3" s="1"/>
  <c r="C48" i="1"/>
  <c r="C50" i="1" s="1"/>
  <c r="C22" i="3" s="1"/>
  <c r="F45" i="1"/>
  <c r="F48" i="1"/>
  <c r="F50" i="1" s="1"/>
  <c r="F22" i="3" s="1"/>
  <c r="F24" i="3" s="1"/>
  <c r="G45" i="1"/>
  <c r="G48" i="1"/>
  <c r="G50" i="1" s="1"/>
  <c r="G22" i="3" s="1"/>
  <c r="G24" i="3" s="1"/>
  <c r="E48" i="1"/>
  <c r="E50" i="1" s="1"/>
  <c r="E22" i="3" s="1"/>
  <c r="E24" i="3" s="1"/>
  <c r="I45" i="1"/>
  <c r="I48" i="1"/>
  <c r="I50" i="1" s="1"/>
  <c r="I22" i="3" s="1"/>
  <c r="I24" i="3" s="1"/>
  <c r="K40" i="1"/>
  <c r="K15" i="3" s="1"/>
  <c r="K44" i="1"/>
  <c r="D44" i="1"/>
  <c r="D40" i="1"/>
  <c r="D15" i="3" s="1"/>
  <c r="L44" i="1"/>
  <c r="M45" i="1" s="1"/>
  <c r="L40" i="1"/>
  <c r="L15" i="3" s="1"/>
  <c r="U5" i="13" s="1"/>
  <c r="J40" i="1"/>
  <c r="J15" i="3" s="1"/>
  <c r="J44" i="1"/>
  <c r="M28" i="11" l="1"/>
  <c r="N30" i="11" s="1"/>
  <c r="P29" i="11"/>
  <c r="O30" i="11"/>
  <c r="Q29" i="11"/>
  <c r="P30" i="11"/>
  <c r="R29" i="11"/>
  <c r="Q30" i="11"/>
  <c r="N29" i="11"/>
  <c r="O29" i="11"/>
  <c r="R30" i="11"/>
  <c r="O15" i="3"/>
  <c r="N23" i="3"/>
  <c r="V7" i="13" s="1"/>
  <c r="W7" i="13" s="1"/>
  <c r="O23" i="3"/>
  <c r="C24" i="3"/>
  <c r="N15" i="3"/>
  <c r="V5" i="13" s="1"/>
  <c r="W5" i="13" s="1"/>
  <c r="O8" i="3"/>
  <c r="N8" i="3"/>
  <c r="K45" i="1"/>
  <c r="K48" i="1"/>
  <c r="K50" i="1" s="1"/>
  <c r="K22" i="3" s="1"/>
  <c r="K24" i="3" s="1"/>
  <c r="D45" i="1"/>
  <c r="D48" i="1"/>
  <c r="D50" i="1" s="1"/>
  <c r="D22" i="3" s="1"/>
  <c r="D24" i="3" s="1"/>
  <c r="J45" i="1"/>
  <c r="J48" i="1"/>
  <c r="J50" i="1" s="1"/>
  <c r="J22" i="3" s="1"/>
  <c r="J24" i="3" s="1"/>
  <c r="L45" i="1"/>
  <c r="L48" i="1"/>
  <c r="L50" i="1" s="1"/>
  <c r="L22" i="3" s="1"/>
  <c r="L24" i="3" s="1"/>
  <c r="U8" i="13" s="1"/>
  <c r="M30" i="11" l="1"/>
  <c r="M29" i="11"/>
  <c r="O24" i="3"/>
  <c r="O22" i="3"/>
  <c r="N22" i="3"/>
  <c r="N24" i="3"/>
  <c r="V8" i="13" s="1"/>
  <c r="W8" i="13" s="1"/>
  <c r="G4" i="12" l="1"/>
  <c r="Q19" i="13" s="1"/>
  <c r="N19" i="13" s="1"/>
  <c r="L22" i="13" s="1"/>
  <c r="B15" i="12"/>
  <c r="B16" i="12" l="1"/>
  <c r="B17" i="12" s="1"/>
  <c r="B14" i="12"/>
  <c r="B13" i="12" s="1"/>
  <c r="G7" i="12"/>
  <c r="B12" i="1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<sst xmlns="http://schemas.openxmlformats.org/spreadsheetml/2006/main" count="293" uniqueCount="215">
  <si>
    <t>Sales</t>
  </si>
  <si>
    <t>Expenses</t>
  </si>
  <si>
    <t>Operating Profit</t>
  </si>
  <si>
    <t>Other Income</t>
  </si>
  <si>
    <t>Depreciation</t>
  </si>
  <si>
    <t>Interest</t>
  </si>
  <si>
    <t>Profit before tax</t>
  </si>
  <si>
    <t>Tax</t>
  </si>
  <si>
    <t>Net profit</t>
  </si>
  <si>
    <t>Sales Growth</t>
  </si>
  <si>
    <t>Equity Share Capital</t>
  </si>
  <si>
    <t>Reserves</t>
  </si>
  <si>
    <t>Borrowings</t>
  </si>
  <si>
    <t>Other Liabilities</t>
  </si>
  <si>
    <t>Total</t>
  </si>
  <si>
    <t>Net Block</t>
  </si>
  <si>
    <t>Capital Work in Progress</t>
  </si>
  <si>
    <t>Investments</t>
  </si>
  <si>
    <t>Other Assets</t>
  </si>
  <si>
    <t>Inventory</t>
  </si>
  <si>
    <t xml:space="preserve">Years </t>
  </si>
  <si>
    <t>LTM</t>
  </si>
  <si>
    <t>Income Statement</t>
  </si>
  <si>
    <t>#</t>
  </si>
  <si>
    <t>COGS</t>
  </si>
  <si>
    <t>Gross Margin</t>
  </si>
  <si>
    <t>COGS % Sales</t>
  </si>
  <si>
    <t>Gross Profit</t>
  </si>
  <si>
    <t>Selling &amp; General Expenses</t>
  </si>
  <si>
    <t>Adjusted Equity Shares in Cr</t>
  </si>
  <si>
    <t>DERIVED:</t>
  </si>
  <si>
    <t>PRICE:</t>
  </si>
  <si>
    <t>Net Cash Flow</t>
  </si>
  <si>
    <t>Cash from Financing Activity</t>
  </si>
  <si>
    <t>Cash from Investing Activity</t>
  </si>
  <si>
    <t>Cash from Operating Activity</t>
  </si>
  <si>
    <t>Report Date</t>
  </si>
  <si>
    <t>CASH FLOW:</t>
  </si>
  <si>
    <t>Face value</t>
  </si>
  <si>
    <t>New Bonus Shares</t>
  </si>
  <si>
    <t>No. of Equity Shares</t>
  </si>
  <si>
    <t>Cash &amp; Bank</t>
  </si>
  <si>
    <t>Receivables</t>
  </si>
  <si>
    <t>BALANCE SHEET</t>
  </si>
  <si>
    <t>Quarters</t>
  </si>
  <si>
    <t>Dividend Amount</t>
  </si>
  <si>
    <t>Other Expenses</t>
  </si>
  <si>
    <t>Selling and admin</t>
  </si>
  <si>
    <t>Employee Cost</t>
  </si>
  <si>
    <t>Other Mfr. Exp</t>
  </si>
  <si>
    <t>Power and Fuel</t>
  </si>
  <si>
    <t>Change in Inventory</t>
  </si>
  <si>
    <t>Raw Material Cost</t>
  </si>
  <si>
    <t>PROFIT &amp; LOSS</t>
  </si>
  <si>
    <t>Market Capitalization</t>
  </si>
  <si>
    <t>Current Price</t>
  </si>
  <si>
    <t>Face Value</t>
  </si>
  <si>
    <t>Number of shares</t>
  </si>
  <si>
    <t>META</t>
  </si>
  <si>
    <t>CURRENT VERSION</t>
  </si>
  <si>
    <t>PLEASE DO NOT MAKE ANY CHANGES TO THIS SHEET</t>
  </si>
  <si>
    <t>LATEST VERSION</t>
  </si>
  <si>
    <t>COMPANY NAME</t>
  </si>
  <si>
    <t>TITAN COMPANY LTD</t>
  </si>
  <si>
    <t>S&amp;G Exp %Sales</t>
  </si>
  <si>
    <t>EBITDA</t>
  </si>
  <si>
    <t>EBIT</t>
  </si>
  <si>
    <t>EBIT %Sales</t>
  </si>
  <si>
    <t xml:space="preserve"> </t>
  </si>
  <si>
    <t>Net Profit</t>
  </si>
  <si>
    <t>PBT</t>
  </si>
  <si>
    <t>Effective Tax Rate%</t>
  </si>
  <si>
    <t>Net Margins%</t>
  </si>
  <si>
    <t>EBITDA Margins</t>
  </si>
  <si>
    <t>Earnings Per Share</t>
  </si>
  <si>
    <t>Dividend Per Share</t>
  </si>
  <si>
    <t>EPS Growth %</t>
  </si>
  <si>
    <t>Dividend Payout Ratio</t>
  </si>
  <si>
    <t>Retained Earnings</t>
  </si>
  <si>
    <t>Balance Sheet</t>
  </si>
  <si>
    <t>Total Liabilities</t>
  </si>
  <si>
    <t>Total Non Current Assets</t>
  </si>
  <si>
    <t>Total Assets</t>
  </si>
  <si>
    <t>Total Current Assets</t>
  </si>
  <si>
    <t>Check</t>
  </si>
  <si>
    <t>Cash Flow Statement</t>
  </si>
  <si>
    <t>Cash From Operating Activity</t>
  </si>
  <si>
    <r>
      <t>Cash from Operating Activity </t>
    </r>
    <r>
      <rPr>
        <sz val="11"/>
        <color rgb="FF665EFD"/>
        <rFont val="Arial"/>
        <family val="2"/>
      </rPr>
      <t>-</t>
    </r>
  </si>
  <si>
    <t>Profit from operations</t>
  </si>
  <si>
    <t>Payables</t>
  </si>
  <si>
    <t>Loans Advances</t>
  </si>
  <si>
    <t>Operating borrowings</t>
  </si>
  <si>
    <t>Other WC items</t>
  </si>
  <si>
    <t>Working capital changes</t>
  </si>
  <si>
    <t>Direct taxes</t>
  </si>
  <si>
    <r>
      <t>Cash from Investing Activity </t>
    </r>
    <r>
      <rPr>
        <sz val="11"/>
        <color rgb="FF665EFD"/>
        <rFont val="Arial"/>
        <family val="2"/>
      </rPr>
      <t>-</t>
    </r>
  </si>
  <si>
    <t>Fixed assets purchased</t>
  </si>
  <si>
    <t>Fixed assets sold</t>
  </si>
  <si>
    <t>Investments purchased</t>
  </si>
  <si>
    <t>Investments sold</t>
  </si>
  <si>
    <t>Interest received</t>
  </si>
  <si>
    <t>Invest in subsidiaries</t>
  </si>
  <si>
    <t>Investment in group cos</t>
  </si>
  <si>
    <t>Acquisition of companies</t>
  </si>
  <si>
    <t>Inter corporate deposits</t>
  </si>
  <si>
    <t>Other investing items</t>
  </si>
  <si>
    <r>
      <t>Cash from Financing Activity </t>
    </r>
    <r>
      <rPr>
        <sz val="11"/>
        <color rgb="FF665EFD"/>
        <rFont val="Arial"/>
        <family val="2"/>
      </rPr>
      <t>-</t>
    </r>
  </si>
  <si>
    <t>Proceeds from borrowings</t>
  </si>
  <si>
    <t>Repayment of borrowings</t>
  </si>
  <si>
    <t>Interest paid fin</t>
  </si>
  <si>
    <t>Dividends paid</t>
  </si>
  <si>
    <t>Financial liabilities</t>
  </si>
  <si>
    <t>Other financing items</t>
  </si>
  <si>
    <t>Free Cash Flow</t>
  </si>
  <si>
    <t>CFO/OP</t>
  </si>
  <si>
    <t>Operating Activity</t>
  </si>
  <si>
    <t>Investing Activity </t>
  </si>
  <si>
    <r>
      <t>Cash from Investing Activity </t>
    </r>
    <r>
      <rPr>
        <b/>
        <sz val="11"/>
        <color rgb="FF665EFD"/>
        <rFont val="Arial"/>
        <family val="2"/>
      </rPr>
      <t>-</t>
    </r>
  </si>
  <si>
    <t>Financing Activity</t>
  </si>
  <si>
    <t>Net Cashflow</t>
  </si>
  <si>
    <t>Other Income % Sales</t>
  </si>
  <si>
    <t>Depreciation % Sales</t>
  </si>
  <si>
    <t>Interest % Sales</t>
  </si>
  <si>
    <t>PBT % Sales</t>
  </si>
  <si>
    <t>EBITDA Growth</t>
  </si>
  <si>
    <t>EBIT Growth</t>
  </si>
  <si>
    <t>Net Profit Growth</t>
  </si>
  <si>
    <t>Dividend Growth</t>
  </si>
  <si>
    <t>EBITDA Margin</t>
  </si>
  <si>
    <t>EBIT Margin</t>
  </si>
  <si>
    <t>Net Profit Margin</t>
  </si>
  <si>
    <t>SalesExpenses%Sales</t>
  </si>
  <si>
    <t>Depreciation%Sales</t>
  </si>
  <si>
    <t>OperatingIncome%Sales</t>
  </si>
  <si>
    <t>Return on Capital Employed</t>
  </si>
  <si>
    <t>Retained Earnings%</t>
  </si>
  <si>
    <t>Return on Equity%</t>
  </si>
  <si>
    <t>Interest Coverage Ratio</t>
  </si>
  <si>
    <t>Debtor Turnover Ratio</t>
  </si>
  <si>
    <t>Creditor Turnover Ratio</t>
  </si>
  <si>
    <t>Inventory Turnover</t>
  </si>
  <si>
    <t>Fixed Asset Turnover</t>
  </si>
  <si>
    <t>Capital Turnover Ratio</t>
  </si>
  <si>
    <t>PBT Margin</t>
  </si>
  <si>
    <t>Sustainable Growth Rate</t>
  </si>
  <si>
    <t>Payable Days</t>
  </si>
  <si>
    <t>Inventory Days</t>
  </si>
  <si>
    <t>Cash Conversion cycle</t>
  </si>
  <si>
    <t>Debtor Days</t>
  </si>
  <si>
    <t>CFO/Sales</t>
  </si>
  <si>
    <t>CFO/Total Assets</t>
  </si>
  <si>
    <t>CFO/Total Debt</t>
  </si>
  <si>
    <t>(In Days)</t>
  </si>
  <si>
    <t>Mean</t>
  </si>
  <si>
    <t>Median</t>
  </si>
  <si>
    <t>Trend</t>
  </si>
  <si>
    <t>Year Weight</t>
  </si>
  <si>
    <t>Log-Linear Regression (implied CAGR)</t>
  </si>
  <si>
    <t>Geometric Mean / CAGR (FY17-FY26)</t>
  </si>
  <si>
    <t>Arithmetic Mean of YoY Growth (FY18-FY26)</t>
  </si>
  <si>
    <t>Growth Rate Methods (single implied annual rate)</t>
  </si>
  <si>
    <t>Log-Linear Regression method</t>
  </si>
  <si>
    <t>Geometric Mean method</t>
  </si>
  <si>
    <t>Arithmetic Mean method</t>
  </si>
  <si>
    <t>Sales Forecast by Method (₹ Cr)</t>
  </si>
  <si>
    <t>Select Method for Forecast</t>
  </si>
  <si>
    <t>EBITDA Forecast by Method (₹ Cr)</t>
  </si>
  <si>
    <t>Sales Growth Rate</t>
  </si>
  <si>
    <t>FY27 EBITDA - Base Case Output</t>
  </si>
  <si>
    <t>Senstivity Analysis</t>
  </si>
  <si>
    <t>FY27 EBITDA SENSITIVITY  (₹ Cr)</t>
  </si>
  <si>
    <t>Base Sales FY27</t>
  </si>
  <si>
    <t>Base EBITDA FY27</t>
  </si>
  <si>
    <t>Vs Base :</t>
  </si>
  <si>
    <t>KEY RATIOS SCORECARD</t>
  </si>
  <si>
    <t>Metric</t>
  </si>
  <si>
    <t>FY26</t>
  </si>
  <si>
    <t>Hist. avg</t>
  </si>
  <si>
    <t>vs avg</t>
  </si>
  <si>
    <t>ROCE</t>
  </si>
  <si>
    <t>ROE</t>
  </si>
  <si>
    <t>▲▼ = FY26 vs historical average (Ratio Analysis). Inventory days: lower is better.</t>
  </si>
  <si>
    <t>MARGINS &amp; RETURNS  FY17–FY26</t>
  </si>
  <si>
    <t>Senstivity to Sales Growth and EBITDA margin</t>
  </si>
  <si>
    <t>FY27</t>
  </si>
  <si>
    <t>Base Sales at Base Growth Rate for FY27</t>
  </si>
  <si>
    <t xml:space="preserve">Base Case </t>
  </si>
  <si>
    <t>FY 17</t>
  </si>
  <si>
    <t>FY 18</t>
  </si>
  <si>
    <t>FY 19</t>
  </si>
  <si>
    <t>FY 20</t>
  </si>
  <si>
    <t>FY 21</t>
  </si>
  <si>
    <t>FY 22</t>
  </si>
  <si>
    <t>FY 23</t>
  </si>
  <si>
    <t>FY 24</t>
  </si>
  <si>
    <t>FY 25</t>
  </si>
  <si>
    <t>FY 26</t>
  </si>
  <si>
    <t xml:space="preserve">Range:         </t>
  </si>
  <si>
    <t xml:space="preserve">Range: </t>
  </si>
  <si>
    <t>Other Adjustments</t>
  </si>
  <si>
    <t>Arithmetic Mean of YoY EBITDA Growth (FY18-FY26)</t>
  </si>
  <si>
    <t>KEY TAKEAWAYS (FY26)</t>
  </si>
  <si>
    <t>• Sales were ₹87,584 Cr in FY26, up 44.9% YoY against a historical average of 24.1%. Sales CAGR for FY17–FY26 is 23.3%.</t>
  </si>
  <si>
    <t>• EBITDA was ₹8,357 Cr (+46.8% YoY) at a 9.5% margin vs a 10.2% average. Gross margin was 16.1% (average 19.3%) and selling &amp; general expenses were 6.6% of sales (average 9.1%).</t>
  </si>
  <si>
    <t>• Net profit was ₹5,073 Cr (+52.0% YoY) and EPS was ₹57.0 vs ₹37.5 a year earlier. Net margin was 5.8% against a 6.5% average.</t>
  </si>
  <si>
    <t>• ROE was 32.3% (average 24.7%) and ROCE was 16.3% (average 18.1%). The sustainable growth rate is 23.8% (average 17.5%).</t>
  </si>
  <si>
    <t>• Interest coverage was 6.4x (average 15.8x) and inventory days were 212 (average 184).</t>
  </si>
  <si>
    <t>• Dividend per share was ₹15.0 (prior year ₹11.0), a payout of 26.3% vs a 29.6% average.</t>
  </si>
  <si>
    <t>ASSUMPTIONS &amp; NOTES</t>
  </si>
  <si>
    <t>• Ratios use year-end balances, not averages.</t>
  </si>
  <si>
    <t>• Forecast method: sales – Arithmetic Mean method; EBITDA – Arithmetic Mean method. Implied FY27E growth is 24.1% for sales and 28.7% for EBITDA.</t>
  </si>
  <si>
    <t>• Implied EBITDA margin moves from 9.9% in FY27E to 11.9% in FY32E, against a historical range of 8.0% to 12.0%.</t>
  </si>
  <si>
    <t>• FY26 sales growth was 44.9% against a historical average of 24.1%. Forecasts compound from the FY26 base, so a high-growth base year can lift every forecast year.</t>
  </si>
  <si>
    <t>Supplementary data (consolidated, from annual report)</t>
  </si>
  <si>
    <t xml:space="preserve">Trade Payables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</si>
</sst>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5" formatCode="&quot;₹&quot;\ #,##0;&quot;₹&quot;\ \-#,##0"/>
    <numFmt numFmtId="7" formatCode="&quot;₹&quot;\ #,##0.00;&quot;₹&quot;\ \-#,##0.00"/>
    <numFmt numFmtId="43" formatCode="_ * #,##0.00_ ;_ * \-#,##0.00_ ;_ * &quot;-&quot;??_ ;_ @_ "/>
    <numFmt numFmtId="164" formatCode="[$-409]mmm\-yy;@"/>
    <numFmt numFmtId="165" formatCode="&quot;₹&quot;#,###.0;\(&quot;₹&quot;#,###.0\)\,\-"/>
    <numFmt numFmtId="166" formatCode="_(* #,##0.00_);_(* \(#,##0.00\);_(* &quot;-&quot;??_);_(@_)"/>
    <numFmt numFmtId="167" formatCode="&quot;₹&quot;\ #,##0.0;\ \(&quot;₹&quot;#,##0.0\);\ \-"/>
    <numFmt numFmtId="168" formatCode="&quot;₹&quot;#,###.0;\(&quot;₹&quot;#,###.0\);\-"/>
    <numFmt numFmtId="169" formatCode="0.00&quot;x&quot;"/>
    <numFmt numFmtId="170" formatCode="yyyy&quot;A&quot;"/>
    <numFmt numFmtId="171" formatCode="#,##0.0;\-#,##0.0"/>
    <numFmt numFmtId="172" formatCode="yyyy&quot;E&quot;"/>
    <numFmt numFmtId="173" formatCode="_ * #,##0.00_ ;_ * \-#,##0.00_ ;_ * \-??_ ;_ @_ "/>
    <numFmt numFmtId="174" formatCode="&quot;₹&quot;\ #,##0.0;&quot;₹&quot;\ \-#,##0"/>
    <numFmt numFmtId="175" formatCode="&quot;₹ #,##0.0;₹&quot;\ g\r\o\w\th"/>
    <numFmt numFmtId="176" formatCode="&quot;₹&quot;\ #,##0.0;&quot;₹&quot;\ \-#,##0.0"/>
    <numFmt numFmtId="177" formatCode="&quot;₹&quot;#,###.00;\(&quot;₹&quot;#,###.0\);\-"/>
  </numFmts>
  <fonts count="34" x14ac:knownFonts="1">
    <font>
      <sz val="11"/>
      <color theme="1"/>
      <name val="Calibri"/>
      <family val="2"/>
    </font>
    <font>
      <sz val="11"/>
      <color theme="0"/>
      <name val="Calibri"/>
      <family val="2"/>
    </font>
    <font>
      <b/>
      <sz val="11"/>
      <color theme="0"/>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sz val="11"/>
      <color theme="1"/>
      <name val="Calibri"/>
      <family val="2"/>
    </font>
    <font>
      <sz val="11"/>
      <color theme="0" tint="-0.499984740745262"/>
      <name val="Calibri"/>
      <family val="2"/>
    </font>
    <font>
      <sz val="11"/>
      <name val="Calibri"/>
      <family val="2"/>
      <scheme val="minor"/>
    </font>
    <font>
      <u/>
      <sz val="11"/>
      <color theme="10"/>
      <name val="Calibri"/>
      <family val="2"/>
    </font>
    <font>
      <b/>
      <sz val="11"/>
      <color theme="1"/>
      <name val="Calibri"/>
      <family val="2"/>
    </font>
    <font>
      <sz val="11"/>
      <color rgb="FF665EFD"/>
      <name val="Arial"/>
      <family val="2"/>
    </font>
    <font>
      <i/>
      <sz val="11"/>
      <color theme="1"/>
      <name val="Calibri"/>
      <family val="2"/>
    </font>
    <font>
      <b/>
      <sz val="11"/>
      <color rgb="FF665EFD"/>
      <name val="Arial"/>
      <family val="2"/>
    </font>
    <font>
      <b/>
      <sz val="11"/>
      <name val="Calibri"/>
      <family val="2"/>
      <scheme val="minor"/>
    </font>
    <font>
      <b/>
      <i/>
      <sz val="11"/>
      <color theme="1"/>
      <name val="Calibri"/>
      <family val="2"/>
    </font>
    <font>
      <sz val="11"/>
      <color theme="1"/>
      <name val="Calibri"/>
      <family val="2"/>
      <charset val="1"/>
    </font>
    <font>
      <sz val="11"/>
      <color theme="4" tint="-0.249977111117893"/>
      <name val="Calibri"/>
      <family val="2"/>
    </font>
    <font>
      <sz val="11"/>
      <color theme="0"/>
      <name val="Calibri"/>
      <family val="2"/>
      <charset val="1"/>
    </font>
    <font>
      <b/>
      <sz val="11"/>
      <name val="Calibri"/>
      <family val="2"/>
    </font>
    <font>
      <sz val="11"/>
      <color theme="0" tint="-0.249977111117893"/>
      <name val="Calibri"/>
      <family val="2"/>
    </font>
    <font>
      <sz val="11"/>
      <color rgb="FFFF0000"/>
      <name val="Calibri"/>
      <family val="2"/>
    </font>
    <font>
      <sz val="11"/>
      <color theme="1" tint="4.9989318521683403E-2"/>
      <name val="Calibri"/>
      <family val="2"/>
    </font>
    <font>
      <sz val="11"/>
      <name val="Calibri"/>
      <family val="2"/>
    </font>
    <font>
      <sz val="14"/>
      <color theme="4" tint="0.39997558519241921"/>
      <name val="Calibri"/>
      <family val="2"/>
    </font>
    <font>
      <sz val="12"/>
      <color rgb="FF1F2937"/>
      <name val="Calibri"/>
      <family val="2"/>
    </font>
    <font>
      <b/>
      <sz val="12"/>
      <color rgb="FF1F2937"/>
      <name val="Calibri"/>
      <family val="2"/>
    </font>
    <font>
      <b/>
      <sz val="14"/>
      <color rgb="FF203864"/>
      <name val="Calibri"/>
      <family val="2"/>
    </font>
    <font>
      <b/>
      <sz val="16"/>
      <color rgb="FF203864"/>
      <name val="Calibri"/>
      <family val="2"/>
    </font>
    <font>
      <sz val="11"/>
      <color rgb="FF00B050"/>
      <name val="Calibri"/>
      <family val="2"/>
    </font>
    <font>
      <sz val="7"/>
      <name val="Calibri"/>
      <family val="2"/>
    </font>
    <font>
      <sz val="9"/>
      <color theme="1"/>
      <name val="Calibri"/>
      <family val="2"/>
    </font>
    <font>
      <b/>
      <sz val="11"/>
      <color theme="4" tint="0.39997558519241921"/>
      <name val="Calibri"/>
      <family val="2"/>
    </font>
    <font>
      <sz val="8"/>
      <name val="Calibri"/>
      <family val="2"/>
    </font>
  </fonts>
  <fills count="18">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rgb="FF0275D8"/>
        <bgColor indexed="64"/>
      </patternFill>
    </fill>
    <fill>
      <patternFill patternType="solid">
        <fgColor theme="4" tint="-0.249977111117893"/>
        <bgColor indexed="64"/>
      </patternFill>
    </fill>
    <fill>
      <patternFill patternType="solid">
        <fgColor theme="9"/>
      </patternFill>
    </fill>
    <fill>
      <patternFill patternType="solid">
        <fgColor theme="4" tint="0.59999389629810485"/>
        <bgColor indexed="64"/>
      </patternFill>
    </fill>
    <fill>
      <patternFill patternType="solid">
        <fgColor theme="0"/>
        <bgColor indexed="64"/>
      </patternFill>
    </fill>
    <fill>
      <patternFill patternType="solid">
        <fgColor theme="4" tint="-0.249977111117893"/>
        <bgColor rgb="FF0563C1"/>
      </patternFill>
    </fill>
    <fill>
      <patternFill patternType="solid">
        <fgColor theme="7" tint="0.39997558519241921"/>
        <bgColor indexed="64"/>
      </patternFill>
    </fill>
    <fill>
      <patternFill patternType="solid">
        <fgColor theme="0" tint="-0.14999847407452621"/>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rgb="FFFFFFFF"/>
        <bgColor indexed="64"/>
      </patternFill>
    </fill>
    <fill>
      <patternFill patternType="solid">
        <fgColor rgb="FFEAF0FA"/>
        <bgColor indexed="64"/>
      </patternFill>
    </fill>
    <fill>
      <patternFill patternType="solid">
        <fgColor rgb="FFFFFFFF"/>
        <bgColor rgb="FF000000"/>
      </patternFill>
    </fill>
    <fill>
      <patternFill patternType="solid">
        <fgColor theme="0" tint="-4.9989318521683403E-2"/>
        <bgColor indexed="64"/>
      </patternFill>
    </fill>
  </fills>
  <borders count="17">
    <border>
      <left/>
      <right/>
      <top/>
      <bottom/>
      <diagonal/>
    </border>
    <border>
      <left/>
      <right/>
      <top style="dotted">
        <color auto="1"/>
      </top>
      <bottom style="dotted">
        <color auto="1"/>
      </bottom>
      <diagonal/>
    </border>
    <border>
      <left/>
      <right/>
      <top style="dotted">
        <color auto="1"/>
      </top>
      <bottom/>
      <diagonal/>
    </border>
    <border>
      <left/>
      <right/>
      <top/>
      <bottom style="dotted">
        <color auto="1"/>
      </bottom>
      <diagonal/>
    </border>
    <border>
      <left style="thin">
        <color rgb="FFFFFFFF"/>
      </left>
      <right style="thin">
        <color rgb="FFFFFFFF"/>
      </right>
      <top style="thin">
        <color rgb="FFFFFFFF"/>
      </top>
      <bottom style="thin">
        <color rgb="FFFFFFFF"/>
      </bottom>
      <diagonal/>
    </border>
    <border>
      <left style="medium">
        <color rgb="FF203864"/>
      </left>
      <right style="medium">
        <color rgb="FF203864"/>
      </right>
      <top style="medium">
        <color rgb="FF203864"/>
      </top>
      <bottom style="medium">
        <color rgb="FF203864"/>
      </bottom>
      <diagonal/>
    </border>
    <border>
      <left style="thin">
        <color rgb="FFD0D5DD"/>
      </left>
      <right/>
      <top/>
      <bottom/>
      <diagonal/>
    </border>
    <border>
      <left/>
      <right style="thin">
        <color rgb="FFD0D5DD"/>
      </right>
      <top/>
      <bottom/>
      <diagonal/>
    </border>
    <border>
      <left style="thin">
        <color rgb="FFD0D5DD"/>
      </left>
      <right/>
      <top style="thin">
        <color rgb="FFD0D5DD"/>
      </top>
      <bottom style="thin">
        <color rgb="FFBF9000"/>
      </bottom>
      <diagonal/>
    </border>
    <border>
      <left/>
      <right/>
      <top style="thin">
        <color rgb="FFD0D5DD"/>
      </top>
      <bottom style="thin">
        <color rgb="FFBF9000"/>
      </bottom>
      <diagonal/>
    </border>
    <border>
      <left/>
      <right style="thin">
        <color rgb="FFD0D5DD"/>
      </right>
      <top style="thin">
        <color rgb="FFD0D5DD"/>
      </top>
      <bottom style="thin">
        <color rgb="FFBF9000"/>
      </bottom>
      <diagonal/>
    </border>
    <border>
      <left style="thin">
        <color rgb="FFD0D5DD"/>
      </left>
      <right/>
      <top/>
      <bottom style="thin">
        <color rgb="FFBF9000"/>
      </bottom>
      <diagonal/>
    </border>
    <border>
      <left/>
      <right/>
      <top/>
      <bottom style="thin">
        <color rgb="FFBF9000"/>
      </bottom>
      <diagonal/>
    </border>
    <border>
      <left/>
      <right style="thin">
        <color rgb="FFD0D5DD"/>
      </right>
      <top/>
      <bottom style="thin">
        <color rgb="FFBF9000"/>
      </bottom>
      <diagonal/>
    </border>
    <border>
      <left style="thin">
        <color indexed="64"/>
      </left>
      <right style="thin">
        <color indexed="64"/>
      </right>
      <top style="thin">
        <color indexed="64"/>
      </top>
      <bottom style="thin">
        <color indexed="64"/>
      </bottom>
      <diagonal/>
    </border>
    <border>
      <left/>
      <right/>
      <top/>
      <bottom style="thin">
        <color rgb="FFD0D5DD"/>
      </bottom>
      <diagonal/>
    </border>
    <border>
      <left/>
      <right/>
      <top/>
      <bottom style="thin">
        <color auto="1"/>
      </bottom>
      <diagonal/>
    </border>
  </borders>
  <cellStyleXfs count="10">
    <xf numFmtId="0" fontId="0" fillId="0" borderId="0"/>
    <xf numFmtId="0" fontId="4" fillId="0" borderId="0"/>
    <xf numFmtId="43" fontId="4" fillId="0" borderId="0" applyFont="0" applyFill="0" applyBorder="0" applyAlignment="0" applyProtection="0"/>
    <xf numFmtId="0" fontId="5" fillId="3" borderId="0" applyNumberFormat="0" applyBorder="0" applyAlignment="0" applyProtection="0"/>
    <xf numFmtId="0" fontId="5" fillId="2" borderId="0" applyNumberFormat="0" applyBorder="0" applyAlignment="0" applyProtection="0"/>
    <xf numFmtId="9" fontId="4" fillId="0" borderId="0" applyFont="0" applyFill="0" applyBorder="0" applyAlignment="0" applyProtection="0"/>
    <xf numFmtId="9" fontId="6" fillId="0" borderId="0" applyFont="0" applyFill="0" applyBorder="0" applyAlignment="0" applyProtection="0"/>
    <xf numFmtId="0" fontId="5" fillId="6" borderId="0" applyNumberFormat="0" applyBorder="0" applyAlignment="0" applyProtection="0"/>
    <xf numFmtId="0" fontId="9" fillId="0" borderId="0" applyNumberFormat="0" applyFill="0" applyBorder="0" applyAlignment="0" applyProtection="0">
      <alignment vertical="top"/>
      <protection locked="0"/>
    </xf>
    <xf numFmtId="0" fontId="16" fillId="0" borderId="0"/>
  </cellStyleXfs>
  <cellXfs count="129">
    <xf numFmtId="0" fontId="0" fillId="0" borderId="0" xfId="0"/>
    <xf numFmtId="0" fontId="4" fillId="0" borderId="0" xfId="1"/>
    <xf numFmtId="43" fontId="3" fillId="0" borderId="0" xfId="2" applyFont="1" applyBorder="1"/>
    <xf numFmtId="43" fontId="4" fillId="0" borderId="0" xfId="2" applyFont="1" applyBorder="1"/>
    <xf numFmtId="164" fontId="2" fillId="4" borderId="0" xfId="1" applyNumberFormat="1" applyFont="1" applyFill="1" applyAlignment="1">
      <alignment horizontal="center"/>
    </xf>
    <xf numFmtId="43" fontId="0" fillId="0" borderId="0" xfId="2" applyFont="1" applyBorder="1"/>
    <xf numFmtId="164" fontId="0" fillId="0" borderId="0" xfId="0" applyNumberFormat="1"/>
    <xf numFmtId="0" fontId="1" fillId="5" borderId="0" xfId="0" applyFont="1" applyFill="1"/>
    <xf numFmtId="164" fontId="1" fillId="5" borderId="0" xfId="0" applyNumberFormat="1" applyFont="1" applyFill="1" applyAlignment="1">
      <alignment horizontal="right"/>
    </xf>
    <xf numFmtId="165" fontId="0" fillId="0" borderId="0" xfId="0" applyNumberFormat="1"/>
    <xf numFmtId="0" fontId="7" fillId="0" borderId="0" xfId="0" applyFont="1"/>
    <xf numFmtId="165" fontId="7" fillId="0" borderId="0" xfId="0" applyNumberFormat="1" applyFont="1"/>
    <xf numFmtId="10" fontId="7" fillId="0" borderId="0" xfId="6" applyNumberFormat="1" applyFont="1"/>
    <xf numFmtId="10" fontId="7" fillId="0" borderId="0" xfId="6" applyNumberFormat="1" applyFont="1" applyAlignment="1">
      <alignment horizontal="right"/>
    </xf>
    <xf numFmtId="7" fontId="0" fillId="0" borderId="0" xfId="0" applyNumberFormat="1"/>
    <xf numFmtId="10" fontId="7" fillId="0" borderId="0" xfId="6" applyNumberFormat="1" applyFont="1" applyAlignment="1">
      <alignment horizontal="left"/>
    </xf>
    <xf numFmtId="166" fontId="0" fillId="0" borderId="0" xfId="2" applyNumberFormat="1" applyFont="1" applyBorder="1"/>
    <xf numFmtId="164" fontId="8" fillId="0" borderId="0" xfId="2" applyNumberFormat="1" applyFont="1" applyFill="1" applyBorder="1"/>
    <xf numFmtId="164" fontId="2" fillId="4" borderId="0" xfId="2" applyNumberFormat="1" applyFont="1" applyFill="1" applyBorder="1"/>
    <xf numFmtId="0" fontId="0" fillId="7" borderId="0" xfId="0" applyFill="1"/>
    <xf numFmtId="43" fontId="4" fillId="0" borderId="0" xfId="2" applyFont="1" applyFill="1" applyBorder="1"/>
    <xf numFmtId="43" fontId="3" fillId="0" borderId="0" xfId="2" applyFont="1" applyFill="1" applyBorder="1"/>
    <xf numFmtId="43" fontId="10" fillId="0" borderId="0" xfId="2" applyFont="1" applyFill="1" applyBorder="1"/>
    <xf numFmtId="0" fontId="10" fillId="0" borderId="0" xfId="0" applyFont="1"/>
    <xf numFmtId="7" fontId="10" fillId="0" borderId="0" xfId="0" applyNumberFormat="1" applyFont="1"/>
    <xf numFmtId="165" fontId="10" fillId="0" borderId="0" xfId="0" applyNumberFormat="1" applyFont="1"/>
    <xf numFmtId="0" fontId="12" fillId="0" borderId="0" xfId="0" applyFont="1"/>
    <xf numFmtId="167" fontId="0" fillId="0" borderId="0" xfId="0" applyNumberFormat="1"/>
    <xf numFmtId="167" fontId="10" fillId="0" borderId="0" xfId="0" applyNumberFormat="1" applyFont="1"/>
    <xf numFmtId="43" fontId="10" fillId="0" borderId="0" xfId="2" applyFont="1" applyBorder="1"/>
    <xf numFmtId="168" fontId="0" fillId="0" borderId="0" xfId="0" applyNumberFormat="1"/>
    <xf numFmtId="168" fontId="10" fillId="0" borderId="1" xfId="0" applyNumberFormat="1" applyFont="1" applyBorder="1"/>
    <xf numFmtId="168" fontId="10" fillId="0" borderId="0" xfId="0" applyNumberFormat="1" applyFont="1"/>
    <xf numFmtId="10" fontId="7" fillId="0" borderId="0" xfId="6" applyNumberFormat="1" applyFont="1" applyBorder="1" applyAlignment="1">
      <alignment horizontal="left"/>
    </xf>
    <xf numFmtId="10" fontId="7" fillId="0" borderId="0" xfId="6" applyNumberFormat="1" applyFont="1" applyBorder="1" applyAlignment="1">
      <alignment horizontal="right"/>
    </xf>
    <xf numFmtId="164" fontId="14" fillId="8" borderId="0" xfId="1" applyNumberFormat="1" applyFont="1" applyFill="1" applyAlignment="1">
      <alignment horizontal="center"/>
    </xf>
    <xf numFmtId="39" fontId="0" fillId="0" borderId="0" xfId="2" applyNumberFormat="1" applyFont="1" applyBorder="1"/>
    <xf numFmtId="10" fontId="0" fillId="0" borderId="0" xfId="0" applyNumberFormat="1"/>
    <xf numFmtId="0" fontId="15" fillId="0" borderId="0" xfId="0" applyFont="1"/>
    <xf numFmtId="0" fontId="1" fillId="5" borderId="0" xfId="0" applyFont="1" applyFill="1" applyAlignment="1">
      <alignment horizontal="center"/>
    </xf>
    <xf numFmtId="0" fontId="0" fillId="0" borderId="2" xfId="0" applyBorder="1"/>
    <xf numFmtId="10" fontId="0" fillId="0" borderId="2" xfId="0" applyNumberFormat="1" applyBorder="1"/>
    <xf numFmtId="0" fontId="0" fillId="0" borderId="3" xfId="0" applyBorder="1"/>
    <xf numFmtId="10" fontId="0" fillId="0" borderId="3" xfId="0" applyNumberFormat="1" applyBorder="1"/>
    <xf numFmtId="169" fontId="0" fillId="0" borderId="3" xfId="0" applyNumberFormat="1" applyBorder="1"/>
    <xf numFmtId="169" fontId="0" fillId="0" borderId="2" xfId="0" applyNumberFormat="1" applyBorder="1"/>
    <xf numFmtId="169" fontId="0" fillId="0" borderId="0" xfId="0" applyNumberFormat="1"/>
    <xf numFmtId="1" fontId="0" fillId="0" borderId="2" xfId="0" applyNumberFormat="1" applyBorder="1"/>
    <xf numFmtId="1" fontId="0" fillId="0" borderId="0" xfId="0" applyNumberFormat="1"/>
    <xf numFmtId="1" fontId="0" fillId="0" borderId="3" xfId="0" applyNumberFormat="1" applyBorder="1"/>
    <xf numFmtId="0" fontId="0" fillId="0" borderId="0" xfId="0" applyAlignment="1">
      <alignment horizontal="center"/>
    </xf>
    <xf numFmtId="164" fontId="1" fillId="5" borderId="0" xfId="0" applyNumberFormat="1" applyFont="1" applyFill="1" applyAlignment="1">
      <alignment horizontal="center"/>
    </xf>
    <xf numFmtId="0" fontId="16" fillId="0" borderId="0" xfId="9"/>
    <xf numFmtId="9" fontId="16" fillId="0" borderId="0" xfId="9" applyNumberFormat="1"/>
    <xf numFmtId="0" fontId="16" fillId="0" borderId="0" xfId="9" applyAlignment="1">
      <alignment horizontal="right"/>
    </xf>
    <xf numFmtId="10" fontId="16" fillId="0" borderId="0" xfId="9" applyNumberFormat="1"/>
    <xf numFmtId="0" fontId="17" fillId="0" borderId="0" xfId="9" applyFont="1"/>
    <xf numFmtId="171" fontId="16" fillId="0" borderId="0" xfId="9" applyNumberFormat="1"/>
    <xf numFmtId="170" fontId="16" fillId="0" borderId="0" xfId="9" applyNumberFormat="1"/>
    <xf numFmtId="3" fontId="16" fillId="0" borderId="0" xfId="9" applyNumberFormat="1"/>
    <xf numFmtId="173" fontId="18" fillId="0" borderId="0" xfId="9" applyNumberFormat="1" applyFont="1" applyAlignment="1">
      <alignment horizontal="center"/>
    </xf>
    <xf numFmtId="0" fontId="19" fillId="0" borderId="0" xfId="9" applyFont="1"/>
    <xf numFmtId="9" fontId="17" fillId="0" borderId="0" xfId="9" applyNumberFormat="1" applyFont="1"/>
    <xf numFmtId="172" fontId="16" fillId="0" borderId="0" xfId="9" applyNumberFormat="1"/>
    <xf numFmtId="174" fontId="0" fillId="0" borderId="0" xfId="0" applyNumberFormat="1"/>
    <xf numFmtId="0" fontId="20" fillId="12" borderId="0" xfId="0" applyFont="1" applyFill="1"/>
    <xf numFmtId="0" fontId="20" fillId="11" borderId="0" xfId="0" applyFont="1" applyFill="1"/>
    <xf numFmtId="0" fontId="22" fillId="11" borderId="0" xfId="0" applyFont="1" applyFill="1"/>
    <xf numFmtId="171" fontId="22" fillId="11" borderId="0" xfId="0" applyNumberFormat="1" applyFont="1" applyFill="1"/>
    <xf numFmtId="0" fontId="23" fillId="11" borderId="0" xfId="0" applyFont="1" applyFill="1"/>
    <xf numFmtId="0" fontId="20" fillId="8" borderId="0" xfId="0" applyFont="1" applyFill="1"/>
    <xf numFmtId="0" fontId="23" fillId="8" borderId="0" xfId="0" applyFont="1" applyFill="1"/>
    <xf numFmtId="0" fontId="23" fillId="8" borderId="0" xfId="0" applyFont="1" applyFill="1" applyAlignment="1">
      <alignment horizontal="left"/>
    </xf>
    <xf numFmtId="0" fontId="23" fillId="8" borderId="0" xfId="0" applyFont="1" applyFill="1" applyAlignment="1">
      <alignment horizontal="right"/>
    </xf>
    <xf numFmtId="10" fontId="23" fillId="8" borderId="0" xfId="0" applyNumberFormat="1" applyFont="1" applyFill="1"/>
    <xf numFmtId="7" fontId="23" fillId="8" borderId="0" xfId="0" applyNumberFormat="1" applyFont="1" applyFill="1"/>
    <xf numFmtId="0" fontId="0" fillId="8" borderId="0" xfId="0" applyFill="1"/>
    <xf numFmtId="0" fontId="27" fillId="8" borderId="8" xfId="0" applyFont="1" applyFill="1" applyBorder="1" applyAlignment="1">
      <alignment vertical="center"/>
    </xf>
    <xf numFmtId="0" fontId="27" fillId="15" borderId="0" xfId="0" applyFont="1" applyFill="1" applyAlignment="1">
      <alignment horizontal="center" vertical="center"/>
    </xf>
    <xf numFmtId="0" fontId="27" fillId="15" borderId="7" xfId="0" applyFont="1" applyFill="1" applyBorder="1" applyAlignment="1">
      <alignment horizontal="center" vertical="center"/>
    </xf>
    <xf numFmtId="0" fontId="23" fillId="11" borderId="0" xfId="0" applyFont="1" applyFill="1" applyAlignment="1">
      <alignment horizontal="left"/>
    </xf>
    <xf numFmtId="175" fontId="24" fillId="13" borderId="0" xfId="0" applyNumberFormat="1" applyFont="1" applyFill="1" applyAlignment="1">
      <alignment horizontal="left"/>
    </xf>
    <xf numFmtId="1" fontId="23" fillId="8" borderId="0" xfId="0" applyNumberFormat="1" applyFont="1" applyFill="1"/>
    <xf numFmtId="169" fontId="23" fillId="8" borderId="0" xfId="0" applyNumberFormat="1" applyFont="1" applyFill="1"/>
    <xf numFmtId="0" fontId="30" fillId="8" borderId="0" xfId="0" applyFont="1" applyFill="1"/>
    <xf numFmtId="0" fontId="30" fillId="11" borderId="0" xfId="0" applyFont="1" applyFill="1"/>
    <xf numFmtId="0" fontId="31" fillId="0" borderId="0" xfId="0" applyFont="1"/>
    <xf numFmtId="0" fontId="1" fillId="8" borderId="0" xfId="0" applyFont="1" applyFill="1" applyAlignment="1">
      <alignment horizontal="left"/>
    </xf>
    <xf numFmtId="0" fontId="1" fillId="5" borderId="0" xfId="0" applyFont="1" applyFill="1" applyAlignment="1">
      <alignment horizontal="right"/>
    </xf>
    <xf numFmtId="174" fontId="10" fillId="17" borderId="0" xfId="0" applyNumberFormat="1" applyFont="1" applyFill="1"/>
    <xf numFmtId="10" fontId="10" fillId="17" borderId="0" xfId="0" applyNumberFormat="1" applyFont="1" applyFill="1"/>
    <xf numFmtId="174" fontId="32" fillId="13" borderId="0" xfId="0" applyNumberFormat="1" applyFont="1" applyFill="1"/>
    <xf numFmtId="5" fontId="0" fillId="0" borderId="0" xfId="0" applyNumberFormat="1"/>
    <xf numFmtId="5" fontId="10" fillId="11" borderId="14" xfId="0" applyNumberFormat="1" applyFont="1" applyFill="1" applyBorder="1"/>
    <xf numFmtId="174" fontId="23" fillId="11" borderId="0" xfId="0" applyNumberFormat="1" applyFont="1" applyFill="1"/>
    <xf numFmtId="10" fontId="23" fillId="11" borderId="0" xfId="0" applyNumberFormat="1" applyFont="1" applyFill="1"/>
    <xf numFmtId="2" fontId="23" fillId="8" borderId="0" xfId="0" applyNumberFormat="1" applyFont="1" applyFill="1"/>
    <xf numFmtId="0" fontId="29" fillId="8" borderId="0" xfId="0" applyFont="1" applyFill="1" applyAlignment="1">
      <alignment horizontal="center" vertical="center"/>
    </xf>
    <xf numFmtId="0" fontId="21" fillId="11" borderId="0" xfId="0" applyFont="1" applyFill="1"/>
    <xf numFmtId="43" fontId="1" fillId="11" borderId="0" xfId="0" applyNumberFormat="1" applyFont="1" applyFill="1"/>
    <xf numFmtId="10" fontId="10" fillId="13" borderId="0" xfId="0" applyNumberFormat="1" applyFont="1" applyFill="1"/>
    <xf numFmtId="10" fontId="27" fillId="15" borderId="6" xfId="0" applyNumberFormat="1" applyFont="1" applyFill="1" applyBorder="1" applyAlignment="1">
      <alignment horizontal="center" vertical="center"/>
    </xf>
    <xf numFmtId="176" fontId="7" fillId="0" borderId="0" xfId="6" applyNumberFormat="1" applyFont="1" applyAlignment="1">
      <alignment horizontal="right"/>
    </xf>
    <xf numFmtId="177" fontId="0" fillId="0" borderId="0" xfId="0" applyNumberFormat="1"/>
    <xf numFmtId="10" fontId="20" fillId="11" borderId="0" xfId="0" applyNumberFormat="1" applyFont="1" applyFill="1"/>
    <xf numFmtId="5" fontId="19" fillId="11" borderId="0" xfId="0" applyNumberFormat="1" applyFont="1" applyFill="1"/>
    <xf numFmtId="1" fontId="0" fillId="0" borderId="16" xfId="0" applyNumberFormat="1" applyBorder="1"/>
    <xf numFmtId="0" fontId="28" fillId="14" borderId="8" xfId="0" applyFont="1" applyFill="1" applyBorder="1" applyAlignment="1">
      <alignment horizontal="left" vertical="center" indent="1"/>
    </xf>
    <xf numFmtId="0" fontId="28" fillId="14" borderId="9" xfId="0" applyFont="1" applyFill="1" applyBorder="1" applyAlignment="1">
      <alignment horizontal="left" vertical="center" indent="1"/>
    </xf>
    <xf numFmtId="0" fontId="28" fillId="14" borderId="10" xfId="0" applyFont="1" applyFill="1" applyBorder="1" applyAlignment="1">
      <alignment horizontal="left" vertical="center" indent="1"/>
    </xf>
    <xf numFmtId="0" fontId="27" fillId="15" borderId="6" xfId="0" applyFont="1" applyFill="1" applyBorder="1" applyAlignment="1">
      <alignment horizontal="left" vertical="center" indent="1"/>
    </xf>
    <xf numFmtId="0" fontId="27" fillId="15" borderId="0" xfId="0" applyFont="1" applyFill="1" applyAlignment="1">
      <alignment horizontal="left" vertical="center" indent="1"/>
    </xf>
    <xf numFmtId="0" fontId="27" fillId="16" borderId="11" xfId="0" applyFont="1" applyFill="1" applyBorder="1" applyAlignment="1">
      <alignment horizontal="left" vertical="center" indent="1"/>
    </xf>
    <xf numFmtId="0" fontId="27" fillId="16" borderId="12" xfId="0" applyFont="1" applyFill="1" applyBorder="1" applyAlignment="1">
      <alignment horizontal="left" vertical="center" indent="1"/>
    </xf>
    <xf numFmtId="0" fontId="27" fillId="16" borderId="13" xfId="0" applyFont="1" applyFill="1" applyBorder="1" applyAlignment="1">
      <alignment horizontal="left" vertical="center" indent="1"/>
    </xf>
    <xf numFmtId="0" fontId="23" fillId="8" borderId="0" xfId="0" applyFont="1" applyFill="1" applyAlignment="1">
      <alignment horizontal="left"/>
    </xf>
    <xf numFmtId="0" fontId="19" fillId="8" borderId="0" xfId="0" applyFont="1" applyFill="1" applyAlignment="1">
      <alignment horizontal="left"/>
    </xf>
    <xf numFmtId="0" fontId="23" fillId="8" borderId="0" xfId="0" applyFont="1" applyFill="1" applyAlignment="1">
      <alignment horizontal="right"/>
    </xf>
    <xf numFmtId="0" fontId="23" fillId="16" borderId="15" xfId="0" applyFont="1" applyFill="1" applyBorder="1" applyAlignment="1">
      <alignment horizontal="left" vertical="center" wrapText="1" indent="1"/>
    </xf>
    <xf numFmtId="0" fontId="27" fillId="8" borderId="12" xfId="0" applyFont="1" applyFill="1" applyBorder="1" applyAlignment="1">
      <alignment horizontal="left" vertical="center" indent="1"/>
    </xf>
    <xf numFmtId="0" fontId="23" fillId="8" borderId="15" xfId="0" applyFont="1" applyFill="1" applyBorder="1" applyAlignment="1">
      <alignment horizontal="left" vertical="center" wrapText="1" indent="1"/>
    </xf>
    <xf numFmtId="43" fontId="9" fillId="0" borderId="0" xfId="8" applyNumberFormat="1" applyBorder="1" applyAlignment="1" applyProtection="1">
      <alignment horizontal="center"/>
    </xf>
    <xf numFmtId="43" fontId="2" fillId="6" borderId="0" xfId="7" applyNumberFormat="1" applyFont="1" applyBorder="1" applyAlignment="1">
      <alignment horizontal="center"/>
    </xf>
    <xf numFmtId="0" fontId="1" fillId="5" borderId="0" xfId="0" applyFont="1" applyFill="1" applyAlignment="1">
      <alignment horizontal="center"/>
    </xf>
    <xf numFmtId="173" fontId="18" fillId="9" borderId="0" xfId="9" applyNumberFormat="1" applyFont="1" applyFill="1" applyAlignment="1">
      <alignment horizontal="center"/>
    </xf>
    <xf numFmtId="10" fontId="16" fillId="10" borderId="0" xfId="9" applyNumberFormat="1" applyFill="1" applyAlignment="1">
      <alignment horizontal="center"/>
    </xf>
    <xf numFmtId="9" fontId="16" fillId="10" borderId="0" xfId="9" applyNumberFormat="1" applyFill="1" applyAlignment="1">
      <alignment horizontal="center"/>
    </xf>
    <xf numFmtId="5" fontId="25" fillId="14" borderId="4" xfId="0" applyNumberFormat="1" applyFont="1" applyFill="1" applyBorder="1" applyAlignment="1">
      <alignment horizontal="center" vertical="center"/>
    </xf>
    <xf numFmtId="5" fontId="26" fillId="14" borderId="5" xfId="0" applyNumberFormat="1" applyFont="1" applyFill="1" applyBorder="1" applyAlignment="1">
      <alignment horizontal="center" vertical="center"/>
    </xf>
  </cellXfs>
  <cellStyles count="10">
    <cellStyle name="60% - Accent1 2" xfId="4" xr:uid="{2FD085E3-627F-4405-BF99-9DFC3EE8A34F}"/>
    <cellStyle name="60% - Accent3 2" xfId="3" xr:uid="{0FF3883C-9DD8-4EB6-A2ED-24288717E64B}"/>
    <cellStyle name="Accent6 2" xfId="7" xr:uid="{81C6A239-0DC5-4047-BF3A-4187BF92F32B}"/>
    <cellStyle name="Comma 2" xfId="2" xr:uid="{12C56994-C272-44C3-9BED-8972604B0D3A}"/>
    <cellStyle name="Hyperlink" xfId="8" builtinId="8"/>
    <cellStyle name="Normal" xfId="0" builtinId="0"/>
    <cellStyle name="Normal 2" xfId="1" xr:uid="{300286DA-578E-410F-94F6-E3C20089D535}"/>
    <cellStyle name="Normal 3" xfId="9" xr:uid="{AC5564AF-9748-48B5-82F4-E33F4013E8E8}"/>
    <cellStyle name="Percent" xfId="6" builtinId="5"/>
    <cellStyle name="Percent 2" xfId="5" xr:uid="{BD617BAD-5E00-4F4E-A03B-B504AD91C060}"/>
  </cellStyles>
  <dxfs count="7">
    <dxf>
      <font>
        <b/>
        <i val="0"/>
        <color theme="0"/>
      </font>
      <fill>
        <patternFill>
          <bgColor theme="5"/>
        </patternFill>
      </fill>
    </dxf>
    <dxf>
      <font>
        <color rgb="FF9C0006"/>
      </font>
      <fill>
        <patternFill>
          <bgColor rgb="FFFFC7CE"/>
        </patternFill>
      </fill>
    </dxf>
    <dxf>
      <font>
        <color rgb="FF9C0006"/>
      </font>
    </dxf>
    <dxf>
      <font>
        <color rgb="FFFF0000"/>
      </font>
    </dxf>
    <dxf>
      <font>
        <color rgb="FF006100"/>
      </font>
      <fill>
        <patternFill>
          <bgColor rgb="FFC6EFCE"/>
        </patternFill>
      </fill>
    </dxf>
    <dxf>
      <font>
        <strike/>
        <color rgb="FFFF0000"/>
      </font>
      <fill>
        <patternFill patternType="solid">
          <bgColor theme="0"/>
        </patternFill>
      </fill>
    </dxf>
    <dxf>
      <font>
        <strike val="0"/>
        <color rgb="FFFF0000"/>
      </font>
      <fill>
        <patternFill>
          <bgColor theme="0"/>
        </patternFill>
      </fill>
    </dxf>
  </dxfs>
  <tableStyles count="0" defaultTableStyle="TableStyleMedium2" defaultPivotStyle="PivotStyleLight16"/>
  <colors>
    <mruColors>
      <color rgb="FFAC3004"/>
      <color rgb="FFA6190A"/>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sz="1400" b="1">
                <a:solidFill>
                  <a:schemeClr val="accent1">
                    <a:lumMod val="75000"/>
                  </a:schemeClr>
                </a:solidFill>
              </a:rPr>
              <a:t>SALES &amp; EBITDA — FY17A TO FY32E  (₹ Cr)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'Projections '!$B$6</c:f>
              <c:strCache>
                <c:ptCount val="1"/>
                <c:pt idx="0">
                  <c:v>Sales</c:v>
                </c:pt>
              </c:strCache>
            </c:strRef>
          </c:tx>
          <c:spPr>
            <a:solidFill>
              <a:schemeClr val="accent1"/>
            </a:solidFill>
            <a:ln>
              <a:noFill/>
            </a:ln>
            <a:effectLst/>
          </c:spPr>
          <c:invertIfNegative val="0"/>
          <c:cat>
            <c:strRef>
              <c:f>'Projections '!$B$5:$R$5</c:f>
              <c:strCache>
                <c:ptCount val="17"/>
                <c:pt idx="0">
                  <c:v>Years </c:v>
                </c:pt>
                <c:pt idx="1">
                  <c:v>2017A</c:v>
                </c:pt>
                <c:pt idx="2">
                  <c:v>2018A</c:v>
                </c:pt>
                <c:pt idx="3">
                  <c:v>2019A</c:v>
                </c:pt>
                <c:pt idx="4">
                  <c:v>2020A</c:v>
                </c:pt>
                <c:pt idx="5">
                  <c:v>2021A</c:v>
                </c:pt>
                <c:pt idx="6">
                  <c:v>2022A</c:v>
                </c:pt>
                <c:pt idx="7">
                  <c:v>2023A</c:v>
                </c:pt>
                <c:pt idx="8">
                  <c:v>2024A</c:v>
                </c:pt>
                <c:pt idx="9">
                  <c:v>2025A</c:v>
                </c:pt>
                <c:pt idx="10">
                  <c:v>2026A</c:v>
                </c:pt>
                <c:pt idx="11">
                  <c:v>2027E</c:v>
                </c:pt>
                <c:pt idx="12">
                  <c:v>2028E</c:v>
                </c:pt>
                <c:pt idx="13">
                  <c:v>2029E</c:v>
                </c:pt>
                <c:pt idx="14">
                  <c:v>2030E</c:v>
                </c:pt>
                <c:pt idx="15">
                  <c:v>2031E</c:v>
                </c:pt>
                <c:pt idx="16">
                  <c:v>2032E</c:v>
                </c:pt>
              </c:strCache>
            </c:strRef>
          </c:cat>
          <c:val>
            <c:numRef>
              <c:f>'Projections '!$C$6:$R$6</c:f>
              <c:numCache>
                <c:formatCode>#,##0.0;\-#,##0.0</c:formatCode>
                <c:ptCount val="16"/>
                <c:pt idx="0">
                  <c:v>13260.83</c:v>
                </c:pt>
                <c:pt idx="1">
                  <c:v>16119.77</c:v>
                </c:pt>
                <c:pt idx="2">
                  <c:v>19778.52</c:v>
                </c:pt>
                <c:pt idx="3">
                  <c:v>21052</c:v>
                </c:pt>
                <c:pt idx="4">
                  <c:v>21644</c:v>
                </c:pt>
                <c:pt idx="5">
                  <c:v>28799</c:v>
                </c:pt>
                <c:pt idx="6">
                  <c:v>40575</c:v>
                </c:pt>
                <c:pt idx="7">
                  <c:v>51084</c:v>
                </c:pt>
                <c:pt idx="8">
                  <c:v>60456</c:v>
                </c:pt>
                <c:pt idx="9">
                  <c:v>87584</c:v>
                </c:pt>
                <c:pt idx="10">
                  <c:v>108023.85512295051</c:v>
                </c:pt>
                <c:pt idx="11">
                  <c:v>133233.84722808047</c:v>
                </c:pt>
                <c:pt idx="12">
                  <c:v>164327.20371802483</c:v>
                </c:pt>
                <c:pt idx="13">
                  <c:v>202676.95066673693</c:v>
                </c:pt>
                <c:pt idx="14">
                  <c:v>249976.5431538292</c:v>
                </c:pt>
                <c:pt idx="15">
                  <c:v>308314.64516104804</c:v>
                </c:pt>
              </c:numCache>
            </c:numRef>
          </c:val>
          <c:extLst>
            <c:ext xmlns:c16="http://schemas.microsoft.com/office/drawing/2014/chart" uri="{C3380CC4-5D6E-409C-BE32-E72D297353CC}">
              <c16:uniqueId val="{00000008-2798-424A-87C5-3AE2EF008904}"/>
            </c:ext>
          </c:extLst>
        </c:ser>
        <c:dLbls>
          <c:showLegendKey val="0"/>
          <c:showVal val="0"/>
          <c:showCatName val="0"/>
          <c:showSerName val="0"/>
          <c:showPercent val="0"/>
          <c:showBubbleSize val="0"/>
        </c:dLbls>
        <c:gapWidth val="219"/>
        <c:axId val="693012144"/>
        <c:axId val="693003144"/>
      </c:barChart>
      <c:lineChart>
        <c:grouping val="standard"/>
        <c:varyColors val="0"/>
        <c:ser>
          <c:idx val="1"/>
          <c:order val="1"/>
          <c:tx>
            <c:strRef>
              <c:f>'Projections '!$B$28</c:f>
              <c:strCache>
                <c:ptCount val="1"/>
                <c:pt idx="0">
                  <c:v>EBITDA</c:v>
                </c:pt>
              </c:strCache>
            </c:strRef>
          </c:tx>
          <c:spPr>
            <a:ln w="28575" cap="rnd">
              <a:solidFill>
                <a:schemeClr val="accent2"/>
              </a:solidFill>
              <a:round/>
            </a:ln>
            <a:effectLst/>
          </c:spPr>
          <c:marker>
            <c:symbol val="circle"/>
            <c:size val="5"/>
            <c:spPr>
              <a:solidFill>
                <a:schemeClr val="accent2"/>
              </a:solidFill>
              <a:ln w="9525">
                <a:solidFill>
                  <a:schemeClr val="accent1"/>
                </a:solidFill>
              </a:ln>
              <a:effectLst/>
            </c:spPr>
          </c:marker>
          <c:cat>
            <c:strRef>
              <c:f>'Projections '!$B$5:$R$5</c:f>
              <c:strCache>
                <c:ptCount val="17"/>
                <c:pt idx="0">
                  <c:v>Years </c:v>
                </c:pt>
                <c:pt idx="1">
                  <c:v>2017A</c:v>
                </c:pt>
                <c:pt idx="2">
                  <c:v>2018A</c:v>
                </c:pt>
                <c:pt idx="3">
                  <c:v>2019A</c:v>
                </c:pt>
                <c:pt idx="4">
                  <c:v>2020A</c:v>
                </c:pt>
                <c:pt idx="5">
                  <c:v>2021A</c:v>
                </c:pt>
                <c:pt idx="6">
                  <c:v>2022A</c:v>
                </c:pt>
                <c:pt idx="7">
                  <c:v>2023A</c:v>
                </c:pt>
                <c:pt idx="8">
                  <c:v>2024A</c:v>
                </c:pt>
                <c:pt idx="9">
                  <c:v>2025A</c:v>
                </c:pt>
                <c:pt idx="10">
                  <c:v>2026A</c:v>
                </c:pt>
                <c:pt idx="11">
                  <c:v>2027E</c:v>
                </c:pt>
                <c:pt idx="12">
                  <c:v>2028E</c:v>
                </c:pt>
                <c:pt idx="13">
                  <c:v>2029E</c:v>
                </c:pt>
                <c:pt idx="14">
                  <c:v>2030E</c:v>
                </c:pt>
                <c:pt idx="15">
                  <c:v>2031E</c:v>
                </c:pt>
                <c:pt idx="16">
                  <c:v>2032E</c:v>
                </c:pt>
              </c:strCache>
            </c:strRef>
          </c:cat>
          <c:val>
            <c:numRef>
              <c:f>'Projections '!$C$28:$R$28</c:f>
              <c:numCache>
                <c:formatCode>#,##0.0;\-#,##0.0</c:formatCode>
                <c:ptCount val="16"/>
                <c:pt idx="0">
                  <c:v>1163.8999999999996</c:v>
                </c:pt>
                <c:pt idx="1">
                  <c:v>1644.2000000000012</c:v>
                </c:pt>
                <c:pt idx="2">
                  <c:v>1993.7900000000009</c:v>
                </c:pt>
                <c:pt idx="3">
                  <c:v>2463</c:v>
                </c:pt>
                <c:pt idx="4">
                  <c:v>1725</c:v>
                </c:pt>
                <c:pt idx="5">
                  <c:v>3344</c:v>
                </c:pt>
                <c:pt idx="6">
                  <c:v>4882</c:v>
                </c:pt>
                <c:pt idx="7">
                  <c:v>5292</c:v>
                </c:pt>
                <c:pt idx="8">
                  <c:v>5694</c:v>
                </c:pt>
                <c:pt idx="9">
                  <c:v>8357</c:v>
                </c:pt>
                <c:pt idx="10">
                  <c:v>10403.42842797469</c:v>
                </c:pt>
                <c:pt idx="11">
                  <c:v>12950.977989229617</c:v>
                </c:pt>
                <c:pt idx="12">
                  <c:v>16122.36120416727</c:v>
                </c:pt>
                <c:pt idx="13">
                  <c:v>20070.339939871967</c:v>
                </c:pt>
                <c:pt idx="14">
                  <c:v>24985.083772834729</c:v>
                </c:pt>
                <c:pt idx="15">
                  <c:v>31103.330237841081</c:v>
                </c:pt>
              </c:numCache>
            </c:numRef>
          </c:val>
          <c:smooth val="0"/>
          <c:extLst>
            <c:ext xmlns:c16="http://schemas.microsoft.com/office/drawing/2014/chart" uri="{C3380CC4-5D6E-409C-BE32-E72D297353CC}">
              <c16:uniqueId val="{00000009-2798-424A-87C5-3AE2EF008904}"/>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'Projections '!$B$5:$R$5</c:f>
              <c:strCache>
                <c:ptCount val="17"/>
                <c:pt idx="0">
                  <c:v>Years </c:v>
                </c:pt>
                <c:pt idx="1">
                  <c:v>2017A</c:v>
                </c:pt>
                <c:pt idx="2">
                  <c:v>2018A</c:v>
                </c:pt>
                <c:pt idx="3">
                  <c:v>2019A</c:v>
                </c:pt>
                <c:pt idx="4">
                  <c:v>2020A</c:v>
                </c:pt>
                <c:pt idx="5">
                  <c:v>2021A</c:v>
                </c:pt>
                <c:pt idx="6">
                  <c:v>2022A</c:v>
                </c:pt>
                <c:pt idx="7">
                  <c:v>2023A</c:v>
                </c:pt>
                <c:pt idx="8">
                  <c:v>2024A</c:v>
                </c:pt>
                <c:pt idx="9">
                  <c:v>2025A</c:v>
                </c:pt>
                <c:pt idx="10">
                  <c:v>2026A</c:v>
                </c:pt>
                <c:pt idx="11">
                  <c:v>2027E</c:v>
                </c:pt>
                <c:pt idx="12">
                  <c:v>2028E</c:v>
                </c:pt>
                <c:pt idx="13">
                  <c:v>2029E</c:v>
                </c:pt>
                <c:pt idx="14">
                  <c:v>2030E</c:v>
                </c:pt>
                <c:pt idx="15">
                  <c:v>2031E</c:v>
                </c:pt>
                <c:pt idx="16">
                  <c:v>2032E</c:v>
                </c:pt>
              </c:strCache>
            </c:strRef>
          </c:cat>
          <c:val>
            <c:numRef>
              <c:f>#REF!</c:f>
              <c:numCache>
                <c:formatCode>General</c:formatCode>
                <c:ptCount val="1"/>
                <c:pt idx="0">
                  <c:v>0</c:v>
                </c:pt>
              </c:numCache>
            </c:numRef>
          </c:val>
          <c:smooth val="0"/>
          <c:extLst>
            <c:ext xmlns:c16="http://schemas.microsoft.com/office/drawing/2014/chart" uri="{C3380CC4-5D6E-409C-BE32-E72D297353CC}">
              <c16:uniqueId val="{0000000B-2798-424A-87C5-3AE2EF008904}"/>
            </c:ext>
          </c:extLst>
        </c:ser>
        <c:dLbls>
          <c:showLegendKey val="0"/>
          <c:showVal val="0"/>
          <c:showCatName val="0"/>
          <c:showSerName val="0"/>
          <c:showPercent val="0"/>
          <c:showBubbleSize val="0"/>
        </c:dLbls>
        <c:marker val="1"/>
        <c:smooth val="0"/>
        <c:axId val="713027496"/>
        <c:axId val="713032536"/>
      </c:lineChart>
      <c:catAx>
        <c:axId val="69301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93003144"/>
        <c:crosses val="autoZero"/>
        <c:auto val="1"/>
        <c:lblAlgn val="ctr"/>
        <c:lblOffset val="100"/>
        <c:noMultiLvlLbl val="0"/>
      </c:catAx>
      <c:valAx>
        <c:axId val="69300314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93012144"/>
        <c:crosses val="autoZero"/>
        <c:crossBetween val="between"/>
      </c:valAx>
      <c:valAx>
        <c:axId val="713032536"/>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13027496"/>
        <c:crosses val="max"/>
        <c:crossBetween val="between"/>
      </c:valAx>
      <c:catAx>
        <c:axId val="713027496"/>
        <c:scaling>
          <c:orientation val="minMax"/>
        </c:scaling>
        <c:delete val="1"/>
        <c:axPos val="b"/>
        <c:numFmt formatCode="General" sourceLinked="1"/>
        <c:majorTickMark val="out"/>
        <c:minorTickMark val="none"/>
        <c:tickLblPos val="nextTo"/>
        <c:crossAx val="713032536"/>
        <c:crosses val="autoZero"/>
        <c:auto val="1"/>
        <c:lblAlgn val="ctr"/>
        <c:lblOffset val="100"/>
        <c:noMultiLvlLbl val="0"/>
      </c:cat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'Ratio Analysis'!$B$12</c:f>
              <c:strCache>
                <c:ptCount val="1"/>
                <c:pt idx="0">
                  <c:v>EBITDA Margin</c:v>
                </c:pt>
              </c:strCache>
            </c:strRef>
          </c:tx>
          <c:spPr>
            <a:ln w="28575" cap="rnd">
              <a:solidFill>
                <a:schemeClr val="accent1"/>
              </a:solidFill>
              <a:round/>
            </a:ln>
            <a:effectLst/>
          </c:spPr>
          <c:marker>
            <c:symbol val="none"/>
          </c:marker>
          <c:cat>
            <c:strRef>
              <c:f>'Data Sheet'!$B$129:$K$129</c:f>
              <c:strCache>
                <c:ptCount val="10"/>
                <c:pt idx="0">
                  <c:v> FY 17 </c:v>
                </c:pt>
                <c:pt idx="1">
                  <c:v> FY 18 </c:v>
                </c:pt>
                <c:pt idx="2">
                  <c:v> FY 19 </c:v>
                </c:pt>
                <c:pt idx="3">
                  <c:v> FY 20 </c:v>
                </c:pt>
                <c:pt idx="4">
                  <c:v> FY 21 </c:v>
                </c:pt>
                <c:pt idx="5">
                  <c:v> FY 22 </c:v>
                </c:pt>
                <c:pt idx="6">
                  <c:v> FY 23 </c:v>
                </c:pt>
                <c:pt idx="7">
                  <c:v> FY 24 </c:v>
                </c:pt>
                <c:pt idx="8">
                  <c:v> FY 25 </c:v>
                </c:pt>
                <c:pt idx="9">
                  <c:v> FY 26 </c:v>
                </c:pt>
              </c:strCache>
            </c:strRef>
          </c:cat>
          <c:val>
            <c:numRef>
              <c:f>'Ratio Analysis'!$C$12:$L$12</c:f>
              <c:numCache>
                <c:formatCode>0.00%</c:formatCode>
                <c:ptCount val="10"/>
                <c:pt idx="0">
                  <c:v>8.7769770067182798E-2</c:v>
                </c:pt>
                <c:pt idx="1">
                  <c:v>0.10199897393076955</c:v>
                </c:pt>
                <c:pt idx="2">
                  <c:v>0.10080582369156038</c:v>
                </c:pt>
                <c:pt idx="3">
                  <c:v>0.1169960098802964</c:v>
                </c:pt>
                <c:pt idx="4">
                  <c:v>7.9698761781556091E-2</c:v>
                </c:pt>
                <c:pt idx="5">
                  <c:v>0.11611514288690579</c:v>
                </c:pt>
                <c:pt idx="6">
                  <c:v>0.12032039433148491</c:v>
                </c:pt>
                <c:pt idx="7">
                  <c:v>0.10359408033826638</c:v>
                </c:pt>
                <c:pt idx="8">
                  <c:v>9.4184200079396582E-2</c:v>
                </c:pt>
                <c:pt idx="9">
                  <c:v>9.5416971136280601E-2</c:v>
                </c:pt>
              </c:numCache>
            </c:numRef>
          </c:val>
          <c:smooth val="0"/>
          <c:extLst>
            <c:ext xmlns:c16="http://schemas.microsoft.com/office/drawing/2014/chart" uri="{C3380CC4-5D6E-409C-BE32-E72D297353CC}">
              <c16:uniqueId val="{00000004-386A-43EF-808F-6E669B2FBD6E}"/>
            </c:ext>
          </c:extLst>
        </c:ser>
        <c:ser>
          <c:idx val="2"/>
          <c:order val="1"/>
          <c:tx>
            <c:strRef>
              <c:f>Dashboard!$S$6</c:f>
              <c:strCache>
                <c:ptCount val="1"/>
                <c:pt idx="0">
                  <c:v>ROCE</c:v>
                </c:pt>
              </c:strCache>
            </c:strRef>
          </c:tx>
          <c:spPr>
            <a:ln w="28575" cap="rnd">
              <a:solidFill>
                <a:schemeClr val="accent3"/>
              </a:solidFill>
              <a:round/>
            </a:ln>
            <a:effectLst/>
          </c:spPr>
          <c:marker>
            <c:symbol val="none"/>
          </c:marker>
          <c:cat>
            <c:strRef>
              <c:f>'Data Sheet'!$B$129:$K$129</c:f>
              <c:strCache>
                <c:ptCount val="10"/>
                <c:pt idx="0">
                  <c:v> FY 17 </c:v>
                </c:pt>
                <c:pt idx="1">
                  <c:v> FY 18 </c:v>
                </c:pt>
                <c:pt idx="2">
                  <c:v> FY 19 </c:v>
                </c:pt>
                <c:pt idx="3">
                  <c:v> FY 20 </c:v>
                </c:pt>
                <c:pt idx="4">
                  <c:v> FY 21 </c:v>
                </c:pt>
                <c:pt idx="5">
                  <c:v> FY 22 </c:v>
                </c:pt>
                <c:pt idx="6">
                  <c:v> FY 23 </c:v>
                </c:pt>
                <c:pt idx="7">
                  <c:v> FY 24 </c:v>
                </c:pt>
                <c:pt idx="8">
                  <c:v> FY 25 </c:v>
                </c:pt>
                <c:pt idx="9">
                  <c:v> FY 26 </c:v>
                </c:pt>
              </c:strCache>
            </c:strRef>
          </c:cat>
          <c:val>
            <c:numRef>
              <c:f>'Ratio Analysis'!$C$21:$L$21</c:f>
              <c:numCache>
                <c:formatCode>0.00%</c:formatCode>
                <c:ptCount val="10"/>
                <c:pt idx="0">
                  <c:v>0.17226536883402749</c:v>
                </c:pt>
                <c:pt idx="1">
                  <c:v>0.22309313379217197</c:v>
                </c:pt>
                <c:pt idx="2">
                  <c:v>0.21634430760250653</c:v>
                </c:pt>
                <c:pt idx="3">
                  <c:v>0.20672466034600723</c:v>
                </c:pt>
                <c:pt idx="4">
                  <c:v>0.10277883517320137</c:v>
                </c:pt>
                <c:pt idx="5">
                  <c:v>0.1776450717818796</c:v>
                </c:pt>
                <c:pt idx="6">
                  <c:v>0.20930342162315016</c:v>
                </c:pt>
                <c:pt idx="7">
                  <c:v>0.18891697764937201</c:v>
                </c:pt>
                <c:pt idx="8">
                  <c:v>0.15434708805283787</c:v>
                </c:pt>
                <c:pt idx="9">
                  <c:v>0.16257231672567135</c:v>
                </c:pt>
              </c:numCache>
            </c:numRef>
          </c:val>
          <c:smooth val="0"/>
          <c:extLst>
            <c:ext xmlns:c16="http://schemas.microsoft.com/office/drawing/2014/chart" uri="{C3380CC4-5D6E-409C-BE32-E72D297353CC}">
              <c16:uniqueId val="{00000006-386A-43EF-808F-6E669B2FBD6E}"/>
            </c:ext>
          </c:extLst>
        </c:ser>
        <c:ser>
          <c:idx val="1"/>
          <c:order val="2"/>
          <c:tx>
            <c:strRef>
              <c:f>'Ratio Analysis'!$B$15</c:f>
              <c:strCache>
                <c:ptCount val="1"/>
                <c:pt idx="0">
                  <c:v>Net Profit Margin</c:v>
                </c:pt>
              </c:strCache>
            </c:strRef>
          </c:tx>
          <c:spPr>
            <a:ln w="28575" cap="rnd">
              <a:solidFill>
                <a:schemeClr val="accent2"/>
              </a:solidFill>
              <a:round/>
            </a:ln>
            <a:effectLst/>
          </c:spPr>
          <c:marker>
            <c:symbol val="none"/>
          </c:marker>
          <c:cat>
            <c:strRef>
              <c:f>'Data Sheet'!$B$129:$K$129</c:f>
              <c:strCache>
                <c:ptCount val="10"/>
                <c:pt idx="0">
                  <c:v> FY 17 </c:v>
                </c:pt>
                <c:pt idx="1">
                  <c:v> FY 18 </c:v>
                </c:pt>
                <c:pt idx="2">
                  <c:v> FY 19 </c:v>
                </c:pt>
                <c:pt idx="3">
                  <c:v> FY 20 </c:v>
                </c:pt>
                <c:pt idx="4">
                  <c:v> FY 21 </c:v>
                </c:pt>
                <c:pt idx="5">
                  <c:v> FY 22 </c:v>
                </c:pt>
                <c:pt idx="6">
                  <c:v> FY 23 </c:v>
                </c:pt>
                <c:pt idx="7">
                  <c:v> FY 24 </c:v>
                </c:pt>
                <c:pt idx="8">
                  <c:v> FY 25 </c:v>
                </c:pt>
                <c:pt idx="9">
                  <c:v> FY 26 </c:v>
                </c:pt>
              </c:strCache>
            </c:strRef>
          </c:cat>
          <c:val>
            <c:numRef>
              <c:f>'Ratio Analysis'!$C$15:$L$15</c:f>
              <c:numCache>
                <c:formatCode>0.00%</c:formatCode>
                <c:ptCount val="10"/>
                <c:pt idx="0">
                  <c:v>5.3651996142021277E-2</c:v>
                </c:pt>
                <c:pt idx="1">
                  <c:v>7.010583897909213E-2</c:v>
                </c:pt>
                <c:pt idx="2">
                  <c:v>7.0993684057249984E-2</c:v>
                </c:pt>
                <c:pt idx="3">
                  <c:v>7.1299638989169675E-2</c:v>
                </c:pt>
                <c:pt idx="4">
                  <c:v>4.495472186287193E-2</c:v>
                </c:pt>
                <c:pt idx="5">
                  <c:v>7.5454008819750687E-2</c:v>
                </c:pt>
                <c:pt idx="6">
                  <c:v>8.0098582871226121E-2</c:v>
                </c:pt>
                <c:pt idx="7">
                  <c:v>6.8436300994440535E-2</c:v>
                </c:pt>
                <c:pt idx="8">
                  <c:v>5.5197168188434564E-2</c:v>
                </c:pt>
                <c:pt idx="9">
                  <c:v>5.792153818048959E-2</c:v>
                </c:pt>
              </c:numCache>
            </c:numRef>
          </c:val>
          <c:smooth val="0"/>
          <c:extLst>
            <c:ext xmlns:c16="http://schemas.microsoft.com/office/drawing/2014/chart" uri="{C3380CC4-5D6E-409C-BE32-E72D297353CC}">
              <c16:uniqueId val="{00000008-386A-43EF-808F-6E669B2FBD6E}"/>
            </c:ext>
          </c:extLst>
        </c:ser>
        <c:ser>
          <c:idx val="3"/>
          <c:order val="3"/>
          <c:tx>
            <c:strRef>
              <c:f>Dashboard!$S$7</c:f>
              <c:strCache>
                <c:ptCount val="1"/>
                <c:pt idx="0">
                  <c:v>ROE</c:v>
                </c:pt>
              </c:strCache>
            </c:strRef>
          </c:tx>
          <c:spPr>
            <a:ln w="28575" cap="rnd">
              <a:solidFill>
                <a:schemeClr val="accent4"/>
              </a:solidFill>
              <a:round/>
            </a:ln>
            <a:effectLst/>
          </c:spPr>
          <c:marker>
            <c:symbol val="none"/>
          </c:marker>
          <c:cat>
            <c:strRef>
              <c:f>'Data Sheet'!$B$129:$K$129</c:f>
              <c:strCache>
                <c:ptCount val="10"/>
                <c:pt idx="0">
                  <c:v> FY 17 </c:v>
                </c:pt>
                <c:pt idx="1">
                  <c:v> FY 18 </c:v>
                </c:pt>
                <c:pt idx="2">
                  <c:v> FY 19 </c:v>
                </c:pt>
                <c:pt idx="3">
                  <c:v> FY 20 </c:v>
                </c:pt>
                <c:pt idx="4">
                  <c:v> FY 21 </c:v>
                </c:pt>
                <c:pt idx="5">
                  <c:v> FY 22 </c:v>
                </c:pt>
                <c:pt idx="6">
                  <c:v> FY 23 </c:v>
                </c:pt>
                <c:pt idx="7">
                  <c:v> FY 24 </c:v>
                </c:pt>
                <c:pt idx="8">
                  <c:v> FY 25 </c:v>
                </c:pt>
                <c:pt idx="9">
                  <c:v> FY 26 </c:v>
                </c:pt>
              </c:strCache>
            </c:strRef>
          </c:cat>
          <c:val>
            <c:numRef>
              <c:f>'Ratio Analysis'!$C$23:$L$23</c:f>
              <c:numCache>
                <c:formatCode>0.00%</c:formatCode>
                <c:ptCount val="10"/>
                <c:pt idx="0">
                  <c:v>0.16810163548641663</c:v>
                </c:pt>
                <c:pt idx="1">
                  <c:v>0.22202684542661122</c:v>
                </c:pt>
                <c:pt idx="2">
                  <c:v>0.23132047807714803</c:v>
                </c:pt>
                <c:pt idx="3">
                  <c:v>0.22507122507122507</c:v>
                </c:pt>
                <c:pt idx="4">
                  <c:v>0.12978524743230627</c:v>
                </c:pt>
                <c:pt idx="5">
                  <c:v>0.23358056540900785</c:v>
                </c:pt>
                <c:pt idx="6">
                  <c:v>0.27423846088937642</c:v>
                </c:pt>
                <c:pt idx="7">
                  <c:v>0.37219205791546894</c:v>
                </c:pt>
                <c:pt idx="8">
                  <c:v>0.28707845836200963</c:v>
                </c:pt>
                <c:pt idx="9">
                  <c:v>0.32305928803413358</c:v>
                </c:pt>
              </c:numCache>
            </c:numRef>
          </c:val>
          <c:smooth val="0"/>
          <c:extLst>
            <c:ext xmlns:c16="http://schemas.microsoft.com/office/drawing/2014/chart" uri="{C3380CC4-5D6E-409C-BE32-E72D297353CC}">
              <c16:uniqueId val="{00000009-386A-43EF-808F-6E669B2FBD6E}"/>
            </c:ext>
          </c:extLst>
        </c:ser>
        <c:dLbls>
          <c:showLegendKey val="0"/>
          <c:showVal val="0"/>
          <c:showCatName val="0"/>
          <c:showSerName val="0"/>
          <c:showPercent val="0"/>
          <c:showBubbleSize val="0"/>
        </c:dLbls>
        <c:smooth val="0"/>
        <c:axId val="542668616"/>
        <c:axId val="542668976"/>
      </c:lineChart>
      <c:catAx>
        <c:axId val="542668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668976"/>
        <c:crosses val="autoZero"/>
        <c:auto val="1"/>
        <c:lblAlgn val="ctr"/>
        <c:lblOffset val="100"/>
        <c:noMultiLvlLbl val="0"/>
      </c:catAx>
      <c:valAx>
        <c:axId val="542668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668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7.svg"/><Relationship Id="rId3" Type="http://schemas.openxmlformats.org/officeDocument/2006/relationships/hyperlink" Target="https://www.screener.in/company/TITAN/consolidated/" TargetMode="External"/><Relationship Id="rId7" Type="http://schemas.openxmlformats.org/officeDocument/2006/relationships/image" Target="../media/image4.png"/><Relationship Id="rId12" Type="http://schemas.openxmlformats.org/officeDocument/2006/relationships/image" Target="../media/image6.png"/><Relationship Id="rId2" Type="http://schemas.openxmlformats.org/officeDocument/2006/relationships/image" Target="../media/image1.jpeg"/><Relationship Id="rId1" Type="http://schemas.openxmlformats.org/officeDocument/2006/relationships/hyperlink" Target="https://www.titancompany.in/" TargetMode="External"/><Relationship Id="rId6" Type="http://schemas.openxmlformats.org/officeDocument/2006/relationships/hyperlink" Target="https://www.titancompany.in/investors/annual-reports" TargetMode="External"/><Relationship Id="rId11" Type="http://schemas.openxmlformats.org/officeDocument/2006/relationships/hyperlink" Target="https://www.titancompany.in/investors/investor-day" TargetMode="External"/><Relationship Id="rId5" Type="http://schemas.openxmlformats.org/officeDocument/2006/relationships/image" Target="../media/image3.svg"/><Relationship Id="rId15" Type="http://schemas.openxmlformats.org/officeDocument/2006/relationships/image" Target="../media/image8.jpeg"/><Relationship Id="rId10" Type="http://schemas.openxmlformats.org/officeDocument/2006/relationships/chart" Target="../charts/chart2.xml"/><Relationship Id="rId4" Type="http://schemas.openxmlformats.org/officeDocument/2006/relationships/image" Target="../media/image2.png"/><Relationship Id="rId9" Type="http://schemas.openxmlformats.org/officeDocument/2006/relationships/chart" Target="../charts/chart1.xml"/><Relationship Id="rId14" Type="http://schemas.openxmlformats.org/officeDocument/2006/relationships/hyperlink" Target="#'Projections '!A1"/></Relationships>
</file>

<file path=xl/drawings/drawing1.xml><?xml version="1.0" encoding="utf-8"?>
<xdr:wsDr xmlns:xdr="http://schemas.openxmlformats.org/drawingml/2006/spreadsheetDrawing" xmlns:a="http://schemas.openxmlformats.org/drawingml/2006/main">
  <xdr:twoCellAnchor editAs="oneCell">
    <xdr:from>
      <xdr:col>0</xdr:col>
      <xdr:colOff>253326</xdr:colOff>
      <xdr:row>1</xdr:row>
      <xdr:rowOff>60879</xdr:rowOff>
    </xdr:from>
    <xdr:to>
      <xdr:col>0</xdr:col>
      <xdr:colOff>888524</xdr:colOff>
      <xdr:row>4</xdr:row>
      <xdr:rowOff>171720</xdr:rowOff>
    </xdr:to>
    <xdr:pic>
      <xdr:nvPicPr>
        <xdr:cNvPr id="2" name="Picture 1">
          <a:hlinkClick xmlns:r="http://schemas.openxmlformats.org/officeDocument/2006/relationships" r:id="rId1"/>
          <a:extLst>
            <a:ext uri="{FF2B5EF4-FFF2-40B4-BE49-F238E27FC236}">
              <a16:creationId xmlns:a16="http://schemas.microsoft.com/office/drawing/2014/main" id="{241D4F97-0685-8BEB-8EA9-5C82A47DDF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253326" y="322942"/>
          <a:ext cx="635198" cy="705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xdr:row>
      <xdr:rowOff>0</xdr:rowOff>
    </xdr:from>
    <xdr:to>
      <xdr:col>8</xdr:col>
      <xdr:colOff>304800</xdr:colOff>
      <xdr:row>9</xdr:row>
      <xdr:rowOff>120649</xdr:rowOff>
    </xdr:to>
    <xdr:sp macro="" textlink="">
      <xdr:nvSpPr>
        <xdr:cNvPr id="1026" name="AutoShape 2" descr="Generated image 1">
          <a:extLst>
            <a:ext uri="{FF2B5EF4-FFF2-40B4-BE49-F238E27FC236}">
              <a16:creationId xmlns:a16="http://schemas.microsoft.com/office/drawing/2014/main" id="{8C358FA4-489F-C4C2-E634-D56926BDE109}"/>
            </a:ext>
          </a:extLst>
        </xdr:cNvPr>
        <xdr:cNvSpPr>
          <a:spLocks noChangeAspect="1" noChangeArrowheads="1"/>
        </xdr:cNvSpPr>
      </xdr:nvSpPr>
      <xdr:spPr bwMode="auto">
        <a:xfrm>
          <a:off x="5568950" y="147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9</xdr:row>
      <xdr:rowOff>120649</xdr:rowOff>
    </xdr:to>
    <xdr:sp macro="" textlink="">
      <xdr:nvSpPr>
        <xdr:cNvPr id="1027" name="AutoShape 3" descr="Generated image 1">
          <a:extLst>
            <a:ext uri="{FF2B5EF4-FFF2-40B4-BE49-F238E27FC236}">
              <a16:creationId xmlns:a16="http://schemas.microsoft.com/office/drawing/2014/main" id="{16E9CB74-1131-5EE0-6C7F-D99F183C17B2}"/>
            </a:ext>
          </a:extLst>
        </xdr:cNvPr>
        <xdr:cNvSpPr>
          <a:spLocks noChangeAspect="1" noChangeArrowheads="1"/>
        </xdr:cNvSpPr>
      </xdr:nvSpPr>
      <xdr:spPr bwMode="auto">
        <a:xfrm>
          <a:off x="5568950" y="147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197923</xdr:colOff>
      <xdr:row>7</xdr:row>
      <xdr:rowOff>179455</xdr:rowOff>
    </xdr:from>
    <xdr:to>
      <xdr:col>0</xdr:col>
      <xdr:colOff>833395</xdr:colOff>
      <xdr:row>11</xdr:row>
      <xdr:rowOff>89213</xdr:rowOff>
    </xdr:to>
    <xdr:pic>
      <xdr:nvPicPr>
        <xdr:cNvPr id="4" name="Picture 3" descr="Bar chart with solid fill">
          <a:hlinkClick xmlns:r="http://schemas.openxmlformats.org/officeDocument/2006/relationships" r:id="rId3"/>
          <a:extLst>
            <a:ext uri="{FF2B5EF4-FFF2-40B4-BE49-F238E27FC236}">
              <a16:creationId xmlns:a16="http://schemas.microsoft.com/office/drawing/2014/main" id="{CD0294F9-E670-F7A3-0483-5681096648C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197923" y="1580487"/>
          <a:ext cx="635472" cy="635472"/>
        </a:xfrm>
        <a:prstGeom prst="rect">
          <a:avLst/>
        </a:prstGeom>
      </xdr:spPr>
    </xdr:pic>
    <xdr:clientData/>
  </xdr:twoCellAnchor>
  <xdr:twoCellAnchor editAs="oneCell">
    <xdr:from>
      <xdr:col>0</xdr:col>
      <xdr:colOff>235394</xdr:colOff>
      <xdr:row>14</xdr:row>
      <xdr:rowOff>50677</xdr:rowOff>
    </xdr:from>
    <xdr:to>
      <xdr:col>0</xdr:col>
      <xdr:colOff>867620</xdr:colOff>
      <xdr:row>17</xdr:row>
      <xdr:rowOff>72325</xdr:rowOff>
    </xdr:to>
    <xdr:pic>
      <xdr:nvPicPr>
        <xdr:cNvPr id="6" name="Picture 5" descr="Document with solid fill">
          <a:hlinkClick xmlns:r="http://schemas.openxmlformats.org/officeDocument/2006/relationships" r:id="rId6"/>
          <a:extLst>
            <a:ext uri="{FF2B5EF4-FFF2-40B4-BE49-F238E27FC236}">
              <a16:creationId xmlns:a16="http://schemas.microsoft.com/office/drawing/2014/main" id="{9350CEE1-F126-88A7-85EB-7073F9A8FC6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235394" y="2772106"/>
          <a:ext cx="632226" cy="616330"/>
        </a:xfrm>
        <a:prstGeom prst="rect">
          <a:avLst/>
        </a:prstGeom>
      </xdr:spPr>
    </xdr:pic>
    <xdr:clientData/>
  </xdr:twoCellAnchor>
  <xdr:twoCellAnchor>
    <xdr:from>
      <xdr:col>1</xdr:col>
      <xdr:colOff>146049</xdr:colOff>
      <xdr:row>0</xdr:row>
      <xdr:rowOff>0</xdr:rowOff>
    </xdr:from>
    <xdr:to>
      <xdr:col>16</xdr:col>
      <xdr:colOff>862949</xdr:colOff>
      <xdr:row>6</xdr:row>
      <xdr:rowOff>113974</xdr:rowOff>
    </xdr:to>
    <xdr:sp macro="" textlink="">
      <xdr:nvSpPr>
        <xdr:cNvPr id="7" name="Rectangle 6">
          <a:extLst>
            <a:ext uri="{FF2B5EF4-FFF2-40B4-BE49-F238E27FC236}">
              <a16:creationId xmlns:a16="http://schemas.microsoft.com/office/drawing/2014/main" id="{22D3BA59-921F-753F-EB37-3D6F11959EA5}"/>
            </a:ext>
          </a:extLst>
        </xdr:cNvPr>
        <xdr:cNvSpPr/>
      </xdr:nvSpPr>
      <xdr:spPr>
        <a:xfrm>
          <a:off x="1385811" y="0"/>
          <a:ext cx="11340551" cy="1333577"/>
        </a:xfrm>
        <a:prstGeom prst="rect">
          <a:avLst/>
        </a:prstGeom>
        <a:solidFill>
          <a:schemeClr val="accent1">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1" i="0" u="none" strike="noStrike">
            <a:solidFill>
              <a:schemeClr val="bg1"/>
            </a:solidFill>
            <a:effectLst/>
            <a:latin typeface="+mn-lt"/>
            <a:ea typeface="+mn-ea"/>
            <a:cs typeface="+mn-cs"/>
          </a:endParaRPr>
        </a:p>
        <a:p>
          <a:pPr algn="l"/>
          <a:endParaRPr lang="en-US" sz="1100" b="1" i="0" u="none" strike="noStrike">
            <a:solidFill>
              <a:schemeClr val="bg1"/>
            </a:solidFill>
            <a:effectLst/>
            <a:latin typeface="+mn-lt"/>
            <a:ea typeface="+mn-ea"/>
            <a:cs typeface="+mn-cs"/>
          </a:endParaRPr>
        </a:p>
        <a:p>
          <a:pPr algn="l"/>
          <a:endParaRPr lang="en-US" sz="1100" b="1" i="0" u="none" strike="noStrike">
            <a:solidFill>
              <a:schemeClr val="accent4">
                <a:lumMod val="60000"/>
                <a:lumOff val="40000"/>
              </a:schemeClr>
            </a:solidFill>
            <a:effectLst/>
            <a:latin typeface="+mn-lt"/>
            <a:ea typeface="+mn-ea"/>
            <a:cs typeface="+mn-cs"/>
          </a:endParaRPr>
        </a:p>
        <a:p>
          <a:pPr algn="l"/>
          <a:endParaRPr lang="en-US" sz="1100" b="1" i="0" u="none" strike="noStrike">
            <a:solidFill>
              <a:schemeClr val="accent4">
                <a:lumMod val="60000"/>
                <a:lumOff val="40000"/>
              </a:schemeClr>
            </a:solidFill>
            <a:effectLst/>
            <a:latin typeface="+mn-lt"/>
            <a:ea typeface="+mn-ea"/>
            <a:cs typeface="+mn-cs"/>
          </a:endParaRPr>
        </a:p>
        <a:p>
          <a:pPr algn="l"/>
          <a:endParaRPr lang="en-US" sz="1100" b="1" i="0" u="none" strike="noStrike">
            <a:solidFill>
              <a:schemeClr val="accent4">
                <a:lumMod val="60000"/>
                <a:lumOff val="40000"/>
              </a:schemeClr>
            </a:solidFill>
            <a:effectLst/>
            <a:latin typeface="+mn-lt"/>
            <a:ea typeface="+mn-ea"/>
            <a:cs typeface="+mn-cs"/>
          </a:endParaRPr>
        </a:p>
        <a:p>
          <a:pPr algn="l"/>
          <a:r>
            <a:rPr lang="en-US" sz="1100" b="1" i="0" u="none" strike="noStrike">
              <a:solidFill>
                <a:schemeClr val="accent4">
                  <a:lumMod val="60000"/>
                  <a:lumOff val="40000"/>
                </a:schemeClr>
              </a:solidFill>
              <a:effectLst/>
              <a:latin typeface="+mn-lt"/>
              <a:ea typeface="+mn-ea"/>
              <a:cs typeface="+mn-cs"/>
            </a:rPr>
            <a:t>CM ₹4,998.7     |     Market Cap ₹4,43,778 Cr     |     P/E (LTM) 77.2x     | </a:t>
          </a:r>
          <a:r>
            <a:rPr lang="en-US" sz="1100" b="1" i="0" u="none" strike="noStrike" baseline="0">
              <a:solidFill>
                <a:schemeClr val="accent4">
                  <a:lumMod val="60000"/>
                  <a:lumOff val="40000"/>
                </a:schemeClr>
              </a:solidFill>
              <a:effectLst/>
              <a:latin typeface="+mn-lt"/>
              <a:ea typeface="+mn-ea"/>
              <a:cs typeface="+mn-cs"/>
            </a:rPr>
            <a:t>    </a:t>
          </a:r>
          <a:r>
            <a:rPr lang="en-US" sz="1100" b="1" i="0" u="none" strike="noStrike">
              <a:solidFill>
                <a:schemeClr val="accent4">
                  <a:lumMod val="60000"/>
                  <a:lumOff val="40000"/>
                </a:schemeClr>
              </a:solidFill>
              <a:effectLst/>
              <a:latin typeface="+mn-lt"/>
              <a:ea typeface="+mn-ea"/>
              <a:cs typeface="+mn-cs"/>
            </a:rPr>
            <a:t>P/E (FY26): 87.7x</a:t>
          </a:r>
          <a:r>
            <a:rPr lang="en-US">
              <a:solidFill>
                <a:schemeClr val="accent4">
                  <a:lumMod val="60000"/>
                  <a:lumOff val="40000"/>
                </a:schemeClr>
              </a:solidFill>
              <a:effectLst/>
            </a:rPr>
            <a:t> </a:t>
          </a:r>
          <a:r>
            <a:rPr lang="en-US" baseline="0">
              <a:solidFill>
                <a:schemeClr val="accent4">
                  <a:lumMod val="60000"/>
                  <a:lumOff val="40000"/>
                </a:schemeClr>
              </a:solidFill>
              <a:effectLst/>
            </a:rPr>
            <a:t> </a:t>
          </a:r>
          <a:r>
            <a:rPr lang="en-US" b="1" baseline="0">
              <a:solidFill>
                <a:schemeClr val="accent4">
                  <a:lumMod val="60000"/>
                  <a:lumOff val="40000"/>
                </a:schemeClr>
              </a:solidFill>
              <a:effectLst/>
            </a:rPr>
            <a:t>   |     P/B: 28.3x     |     Dividend yield: 0.30% (DPS ₹15)</a:t>
          </a:r>
        </a:p>
        <a:p>
          <a:pPr algn="l"/>
          <a:endParaRPr lang="en-US" sz="1100" b="0" i="0" u="none" strike="noStrike">
            <a:solidFill>
              <a:sysClr val="windowText" lastClr="000000"/>
            </a:solidFill>
            <a:effectLst/>
            <a:latin typeface="+mn-lt"/>
            <a:ea typeface="+mn-ea"/>
            <a:cs typeface="+mn-cs"/>
          </a:endParaRPr>
        </a:p>
      </xdr:txBody>
    </xdr:sp>
    <xdr:clientData/>
  </xdr:twoCellAnchor>
  <xdr:twoCellAnchor>
    <xdr:from>
      <xdr:col>7</xdr:col>
      <xdr:colOff>229968</xdr:colOff>
      <xdr:row>7</xdr:row>
      <xdr:rowOff>80635</xdr:rowOff>
    </xdr:from>
    <xdr:to>
      <xdr:col>12</xdr:col>
      <xdr:colOff>161269</xdr:colOff>
      <xdr:row>14</xdr:row>
      <xdr:rowOff>8142</xdr:rowOff>
    </xdr:to>
    <xdr:sp macro="" textlink="">
      <xdr:nvSpPr>
        <xdr:cNvPr id="12" name="Rectangle 11">
          <a:extLst>
            <a:ext uri="{FF2B5EF4-FFF2-40B4-BE49-F238E27FC236}">
              <a16:creationId xmlns:a16="http://schemas.microsoft.com/office/drawing/2014/main" id="{D905B3D0-C399-840F-EF8C-62915D6F2495}"/>
            </a:ext>
          </a:extLst>
        </xdr:cNvPr>
        <xdr:cNvSpPr/>
      </xdr:nvSpPr>
      <xdr:spPr>
        <a:xfrm>
          <a:off x="5158778" y="1350635"/>
          <a:ext cx="3438920" cy="1197507"/>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EBITDA  |  FY26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700">
            <a:solidFill>
              <a:schemeClr val="tx1"/>
            </a:solidFill>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800">
            <a:solidFill>
              <a:schemeClr val="tx1"/>
            </a:solidFill>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a:solidFill>
              <a:schemeClr val="tx1"/>
            </a:solidFill>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a:solidFill>
                <a:schemeClr val="tx1"/>
              </a:solidFill>
              <a:latin typeface="+mn-lt"/>
              <a:ea typeface="+mn-ea"/>
              <a:cs typeface="+mn-cs"/>
            </a:rPr>
            <a:t>Margin      </a:t>
          </a:r>
          <a:r>
            <a:rPr lang="en-US" sz="1200" baseline="0">
              <a:solidFill>
                <a:schemeClr val="tx1"/>
              </a:solidFill>
              <a:latin typeface="+mn-lt"/>
              <a:ea typeface="+mn-ea"/>
              <a:cs typeface="+mn-cs"/>
            </a:rPr>
            <a:t>    </a:t>
          </a:r>
          <a:r>
            <a:rPr lang="en-US" sz="1200">
              <a:solidFill>
                <a:schemeClr val="tx1"/>
              </a:solidFill>
              <a:latin typeface="+mn-lt"/>
              <a:ea typeface="+mn-ea"/>
              <a:cs typeface="+mn-cs"/>
            </a:rPr>
            <a:t>   |   hist. avg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a:solidFill>
                <a:schemeClr val="accent2">
                  <a:lumMod val="75000"/>
                </a:schemeClr>
              </a:solidFill>
              <a:latin typeface="+mn-lt"/>
              <a:ea typeface="+mn-ea"/>
              <a:cs typeface="+mn-cs"/>
            </a:rPr>
            <a:t>FY27E: ₹    </a:t>
          </a:r>
          <a:r>
            <a:rPr lang="en-US" sz="1200" b="1" baseline="0">
              <a:solidFill>
                <a:schemeClr val="accent2">
                  <a:lumMod val="75000"/>
                </a:schemeClr>
              </a:solidFill>
              <a:latin typeface="+mn-lt"/>
              <a:ea typeface="+mn-ea"/>
              <a:cs typeface="+mn-cs"/>
            </a:rPr>
            <a:t>       </a:t>
          </a:r>
          <a:r>
            <a:rPr lang="en-US" sz="1200" b="1">
              <a:solidFill>
                <a:schemeClr val="accent2">
                  <a:lumMod val="75000"/>
                </a:schemeClr>
              </a:solidFill>
              <a:latin typeface="+mn-lt"/>
              <a:ea typeface="+mn-ea"/>
              <a:cs typeface="+mn-cs"/>
            </a:rPr>
            <a:t>     Cr</a:t>
          </a:r>
          <a:r>
            <a:rPr lang="en-US" sz="1200" b="1">
              <a:solidFill>
                <a:schemeClr val="accent6">
                  <a:lumMod val="50000"/>
                </a:schemeClr>
              </a:solidFill>
              <a:latin typeface="+mn-lt"/>
              <a:ea typeface="+mn-ea"/>
              <a:cs typeface="+mn-cs"/>
            </a:rPr>
            <a:t> </a:t>
          </a:r>
        </a:p>
        <a:p>
          <a:pPr algn="l"/>
          <a:endParaRPr lang="en-US" sz="1100">
            <a:solidFill>
              <a:schemeClr val="tx1"/>
            </a:solidFill>
          </a:endParaRPr>
        </a:p>
      </xdr:txBody>
    </xdr:sp>
    <xdr:clientData/>
  </xdr:twoCellAnchor>
  <xdr:twoCellAnchor>
    <xdr:from>
      <xdr:col>12</xdr:col>
      <xdr:colOff>413254</xdr:colOff>
      <xdr:row>7</xdr:row>
      <xdr:rowOff>71329</xdr:rowOff>
    </xdr:from>
    <xdr:to>
      <xdr:col>16</xdr:col>
      <xdr:colOff>844729</xdr:colOff>
      <xdr:row>14</xdr:row>
      <xdr:rowOff>40316</xdr:rowOff>
    </xdr:to>
    <xdr:sp macro="" textlink="">
      <xdr:nvSpPr>
        <xdr:cNvPr id="13" name="Rectangle 12">
          <a:extLst>
            <a:ext uri="{FF2B5EF4-FFF2-40B4-BE49-F238E27FC236}">
              <a16:creationId xmlns:a16="http://schemas.microsoft.com/office/drawing/2014/main" id="{AA9DC22C-738D-1DF6-DFDA-C5785909162E}"/>
            </a:ext>
          </a:extLst>
        </xdr:cNvPr>
        <xdr:cNvSpPr/>
      </xdr:nvSpPr>
      <xdr:spPr>
        <a:xfrm>
          <a:off x="8849683" y="1472361"/>
          <a:ext cx="3858459" cy="128938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i="0" u="none" strike="noStrike">
              <a:solidFill>
                <a:sysClr val="windowText" lastClr="000000"/>
              </a:solidFill>
              <a:effectLst/>
              <a:latin typeface="+mn-lt"/>
              <a:ea typeface="+mn-ea"/>
              <a:cs typeface="+mn-cs"/>
            </a:rPr>
            <a:t>NET PROFIT  |  FY26 </a:t>
          </a:r>
        </a:p>
        <a:p>
          <a:endParaRPr lang="en-US" sz="700" b="0" i="0" u="none" strike="noStrike">
            <a:solidFill>
              <a:sysClr val="windowText" lastClr="000000"/>
            </a:solidFill>
            <a:effectLst/>
            <a:latin typeface="+mn-lt"/>
            <a:ea typeface="+mn-ea"/>
            <a:cs typeface="+mn-cs"/>
          </a:endParaRPr>
        </a:p>
        <a:p>
          <a:r>
            <a:rPr lang="en-US" sz="1800" b="0" i="0" u="none" strike="noStrike">
              <a:solidFill>
                <a:sysClr val="windowText" lastClr="000000"/>
              </a:solidFill>
              <a:effectLst/>
              <a:latin typeface="+mn-lt"/>
              <a:ea typeface="+mn-ea"/>
              <a:cs typeface="+mn-cs"/>
            </a:rPr>
            <a:t> </a:t>
          </a:r>
        </a:p>
        <a:p>
          <a:endParaRPr lang="en-US" sz="1100" b="0" i="0" u="none" strike="noStrike">
            <a:solidFill>
              <a:sysClr val="windowText" lastClr="000000"/>
            </a:solidFill>
            <a:effectLst/>
            <a:latin typeface="+mn-lt"/>
            <a:ea typeface="+mn-ea"/>
            <a:cs typeface="+mn-cs"/>
          </a:endParaRPr>
        </a:p>
        <a:p>
          <a:r>
            <a:rPr lang="en-US" sz="1200" b="0" i="0" u="none" strike="noStrike">
              <a:solidFill>
                <a:sysClr val="windowText" lastClr="000000"/>
              </a:solidFill>
              <a:effectLst/>
              <a:latin typeface="+mn-lt"/>
              <a:ea typeface="+mn-ea"/>
              <a:cs typeface="+mn-cs"/>
            </a:rPr>
            <a:t>EPS </a:t>
          </a:r>
          <a:r>
            <a:rPr lang="en-US" sz="1200" b="0" i="0" u="none" strike="noStrike" baseline="0">
              <a:solidFill>
                <a:sysClr val="windowText" lastClr="000000"/>
              </a:solidFill>
              <a:effectLst/>
              <a:latin typeface="+mn-lt"/>
              <a:ea typeface="+mn-ea"/>
              <a:cs typeface="+mn-cs"/>
            </a:rPr>
            <a:t>         </a:t>
          </a:r>
          <a:r>
            <a:rPr lang="en-US" sz="1200" b="0" i="0" u="none" strike="noStrike">
              <a:solidFill>
                <a:sysClr val="windowText" lastClr="000000"/>
              </a:solidFill>
              <a:effectLst/>
              <a:latin typeface="+mn-lt"/>
              <a:ea typeface="+mn-ea"/>
              <a:cs typeface="+mn-cs"/>
            </a:rPr>
            <a:t>   |   Net margin </a:t>
          </a:r>
        </a:p>
        <a:p>
          <a:r>
            <a:rPr lang="en-US" sz="1200" b="1" i="0" u="none" strike="noStrike">
              <a:solidFill>
                <a:schemeClr val="accent2">
                  <a:lumMod val="75000"/>
                </a:schemeClr>
              </a:solidFill>
              <a:effectLst/>
              <a:latin typeface="+mn-lt"/>
              <a:ea typeface="+mn-ea"/>
              <a:cs typeface="+mn-cs"/>
            </a:rPr>
            <a:t>LTM: </a:t>
          </a:r>
          <a:r>
            <a:rPr lang="en-US" sz="1200" b="1" i="0" u="none" strike="noStrike" baseline="0">
              <a:solidFill>
                <a:schemeClr val="accent2">
                  <a:lumMod val="75000"/>
                </a:schemeClr>
              </a:solidFill>
              <a:effectLst/>
              <a:latin typeface="+mn-lt"/>
              <a:ea typeface="+mn-ea"/>
              <a:cs typeface="+mn-cs"/>
            </a:rPr>
            <a:t>                </a:t>
          </a:r>
          <a:r>
            <a:rPr lang="en-US" sz="1200" b="1" i="0" u="none" strike="noStrike">
              <a:solidFill>
                <a:schemeClr val="accent2">
                  <a:lumMod val="75000"/>
                </a:schemeClr>
              </a:solidFill>
              <a:effectLst/>
              <a:latin typeface="+mn-lt"/>
              <a:ea typeface="+mn-ea"/>
              <a:cs typeface="+mn-cs"/>
            </a:rPr>
            <a:t>Cr   |   LTM EPS </a:t>
          </a:r>
          <a:endParaRPr lang="en-US" sz="1200" b="1">
            <a:solidFill>
              <a:schemeClr val="accent2">
                <a:lumMod val="75000"/>
              </a:schemeClr>
            </a:solidFill>
          </a:endParaRPr>
        </a:p>
      </xdr:txBody>
    </xdr:sp>
    <xdr:clientData/>
  </xdr:twoCellAnchor>
  <xdr:twoCellAnchor>
    <xdr:from>
      <xdr:col>1</xdr:col>
      <xdr:colOff>164840</xdr:colOff>
      <xdr:row>7</xdr:row>
      <xdr:rowOff>81408</xdr:rowOff>
    </xdr:from>
    <xdr:to>
      <xdr:col>6</xdr:col>
      <xdr:colOff>545448</xdr:colOff>
      <xdr:row>14</xdr:row>
      <xdr:rowOff>8140</xdr:rowOff>
    </xdr:to>
    <xdr:sp macro="" textlink="">
      <xdr:nvSpPr>
        <xdr:cNvPr id="11" name="Rectangle 10">
          <a:extLst>
            <a:ext uri="{FF2B5EF4-FFF2-40B4-BE49-F238E27FC236}">
              <a16:creationId xmlns:a16="http://schemas.microsoft.com/office/drawing/2014/main" id="{D2976A7E-43F4-5BC4-8C58-E5F69C55B784}"/>
            </a:ext>
          </a:extLst>
        </xdr:cNvPr>
        <xdr:cNvSpPr/>
      </xdr:nvSpPr>
      <xdr:spPr>
        <a:xfrm>
          <a:off x="1402276" y="1392113"/>
          <a:ext cx="3466057" cy="1237437"/>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SALES  |  FY26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700">
            <a:solidFill>
              <a:schemeClr val="tx1"/>
            </a:solidFill>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a:solidFill>
              <a:schemeClr val="tx1"/>
            </a:solidFill>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600">
            <a:solidFill>
              <a:schemeClr val="tx1"/>
            </a:solidFill>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a:solidFill>
                <a:schemeClr val="tx1"/>
              </a:solidFill>
              <a:latin typeface="+mn-lt"/>
              <a:ea typeface="+mn-ea"/>
              <a:cs typeface="+mn-cs"/>
            </a:rPr>
            <a:t>YoY +</a:t>
          </a:r>
          <a:r>
            <a:rPr lang="en-US" sz="1200" baseline="0">
              <a:solidFill>
                <a:schemeClr val="tx1"/>
              </a:solidFill>
              <a:latin typeface="+mn-lt"/>
              <a:ea typeface="+mn-ea"/>
              <a:cs typeface="+mn-cs"/>
            </a:rPr>
            <a:t>          </a:t>
          </a:r>
          <a:r>
            <a:rPr lang="en-US" sz="1200">
              <a:solidFill>
                <a:schemeClr val="tx1"/>
              </a:solidFill>
              <a:latin typeface="+mn-lt"/>
              <a:ea typeface="+mn-ea"/>
              <a:cs typeface="+mn-cs"/>
            </a:rPr>
            <a:t>   |   hist. avg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a:solidFill>
                <a:schemeClr val="accent2">
                  <a:lumMod val="75000"/>
                </a:schemeClr>
              </a:solidFill>
              <a:latin typeface="+mn-lt"/>
              <a:ea typeface="+mn-ea"/>
              <a:cs typeface="+mn-cs"/>
            </a:rPr>
            <a:t>FY27E: ₹                    (+             )</a:t>
          </a:r>
        </a:p>
        <a:p>
          <a:pPr algn="l"/>
          <a:endParaRPr lang="en-US" sz="1100">
            <a:solidFill>
              <a:schemeClr val="tx1"/>
            </a:solidFill>
          </a:endParaRPr>
        </a:p>
      </xdr:txBody>
    </xdr:sp>
    <xdr:clientData/>
  </xdr:twoCellAnchor>
  <xdr:oneCellAnchor>
    <xdr:from>
      <xdr:col>1</xdr:col>
      <xdr:colOff>130257</xdr:colOff>
      <xdr:row>8</xdr:row>
      <xdr:rowOff>170959</xdr:rowOff>
    </xdr:from>
    <xdr:ext cx="1438279" cy="468013"/>
    <xdr:sp macro="" textlink="'Historical FS'!L5">
      <xdr:nvSpPr>
        <xdr:cNvPr id="17" name="TextBox 16">
          <a:extLst>
            <a:ext uri="{FF2B5EF4-FFF2-40B4-BE49-F238E27FC236}">
              <a16:creationId xmlns:a16="http://schemas.microsoft.com/office/drawing/2014/main" id="{E3D7212E-3CC4-9637-AB37-1C6B2B1359C8}"/>
            </a:ext>
          </a:extLst>
        </xdr:cNvPr>
        <xdr:cNvSpPr txBox="1"/>
      </xdr:nvSpPr>
      <xdr:spPr>
        <a:xfrm>
          <a:off x="1367693" y="1668908"/>
          <a:ext cx="14382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F25C6E-CDB7-41B7-9C2D-9F4970E6E0AB}" type="TxLink">
            <a:rPr lang="en-US" sz="2400" b="1" i="0" u="none" strike="noStrike">
              <a:solidFill>
                <a:srgbClr val="002060"/>
              </a:solidFill>
              <a:latin typeface="Calibri"/>
              <a:ea typeface="Calibri"/>
              <a:cs typeface="Calibri"/>
            </a:rPr>
            <a:pPr/>
            <a:t>₹87,584.0</a:t>
          </a:fld>
          <a:endParaRPr lang="en-US" sz="4000" b="1">
            <a:solidFill>
              <a:srgbClr val="002060"/>
            </a:solidFill>
          </a:endParaRPr>
        </a:p>
      </xdr:txBody>
    </xdr:sp>
    <xdr:clientData/>
  </xdr:oneCellAnchor>
  <xdr:oneCellAnchor>
    <xdr:from>
      <xdr:col>7</xdr:col>
      <xdr:colOff>236087</xdr:colOff>
      <xdr:row>9</xdr:row>
      <xdr:rowOff>16282</xdr:rowOff>
    </xdr:from>
    <xdr:ext cx="1282274" cy="468013"/>
    <xdr:sp macro="" textlink="'Historical FS'!L17">
      <xdr:nvSpPr>
        <xdr:cNvPr id="18" name="TextBox 17">
          <a:extLst>
            <a:ext uri="{FF2B5EF4-FFF2-40B4-BE49-F238E27FC236}">
              <a16:creationId xmlns:a16="http://schemas.microsoft.com/office/drawing/2014/main" id="{D3FA79D3-1AAB-8F92-858C-1A00566994B3}"/>
            </a:ext>
          </a:extLst>
        </xdr:cNvPr>
        <xdr:cNvSpPr txBox="1"/>
      </xdr:nvSpPr>
      <xdr:spPr>
        <a:xfrm>
          <a:off x="5177690" y="1701474"/>
          <a:ext cx="128227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139F5FF-AD53-481E-B67E-EDD0AE93D3C0}" type="TxLink">
            <a:rPr lang="en-US" sz="2400" b="1" i="0" u="none" strike="noStrike">
              <a:solidFill>
                <a:srgbClr val="002060"/>
              </a:solidFill>
              <a:latin typeface="Calibri"/>
              <a:ea typeface="Calibri"/>
              <a:cs typeface="Calibri"/>
            </a:rPr>
            <a:pPr/>
            <a:t>₹8,357.0</a:t>
          </a:fld>
          <a:endParaRPr lang="en-US" sz="6000" b="1">
            <a:solidFill>
              <a:srgbClr val="002060"/>
            </a:solidFill>
          </a:endParaRPr>
        </a:p>
      </xdr:txBody>
    </xdr:sp>
    <xdr:clientData/>
  </xdr:oneCellAnchor>
  <xdr:oneCellAnchor>
    <xdr:from>
      <xdr:col>12</xdr:col>
      <xdr:colOff>408995</xdr:colOff>
      <xdr:row>8</xdr:row>
      <xdr:rowOff>169023</xdr:rowOff>
    </xdr:from>
    <xdr:ext cx="1282274" cy="468013"/>
    <xdr:sp macro="" textlink="'Historical FS'!L39">
      <xdr:nvSpPr>
        <xdr:cNvPr id="19" name="TextBox 18">
          <a:extLst>
            <a:ext uri="{FF2B5EF4-FFF2-40B4-BE49-F238E27FC236}">
              <a16:creationId xmlns:a16="http://schemas.microsoft.com/office/drawing/2014/main" id="{ECDA7177-3A5B-12B2-7A4A-0E0D29A06FC7}"/>
            </a:ext>
          </a:extLst>
        </xdr:cNvPr>
        <xdr:cNvSpPr txBox="1"/>
      </xdr:nvSpPr>
      <xdr:spPr>
        <a:xfrm>
          <a:off x="8845424" y="1620452"/>
          <a:ext cx="128227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121B717-D611-4E5E-888B-1F3DF0BDB94D}" type="TxLink">
            <a:rPr lang="en-US" sz="2400" b="1" i="0" u="none" strike="noStrike">
              <a:solidFill>
                <a:srgbClr val="002060"/>
              </a:solidFill>
              <a:latin typeface="Calibri"/>
              <a:ea typeface="Calibri"/>
              <a:cs typeface="Calibri"/>
            </a:rPr>
            <a:pPr/>
            <a:t>₹5,073.0</a:t>
          </a:fld>
          <a:endParaRPr lang="en-US" sz="6000" b="1">
            <a:solidFill>
              <a:srgbClr val="002060"/>
            </a:solidFill>
          </a:endParaRPr>
        </a:p>
      </xdr:txBody>
    </xdr:sp>
    <xdr:clientData/>
  </xdr:oneCellAnchor>
  <xdr:twoCellAnchor>
    <xdr:from>
      <xdr:col>1</xdr:col>
      <xdr:colOff>144095</xdr:colOff>
      <xdr:row>14</xdr:row>
      <xdr:rowOff>130420</xdr:rowOff>
    </xdr:from>
    <xdr:to>
      <xdr:col>10</xdr:col>
      <xdr:colOff>480320</xdr:colOff>
      <xdr:row>30</xdr:row>
      <xdr:rowOff>179103</xdr:rowOff>
    </xdr:to>
    <xdr:graphicFrame macro="">
      <xdr:nvGraphicFramePr>
        <xdr:cNvPr id="25" name="Chart 24">
          <a:extLst>
            <a:ext uri="{FF2B5EF4-FFF2-40B4-BE49-F238E27FC236}">
              <a16:creationId xmlns:a16="http://schemas.microsoft.com/office/drawing/2014/main" id="{A37CA484-83FB-621F-6E43-EAE5F8D98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4884</xdr:colOff>
      <xdr:row>13</xdr:row>
      <xdr:rowOff>0</xdr:rowOff>
    </xdr:from>
    <xdr:to>
      <xdr:col>22</xdr:col>
      <xdr:colOff>605691</xdr:colOff>
      <xdr:row>31</xdr:row>
      <xdr:rowOff>39077</xdr:rowOff>
    </xdr:to>
    <xdr:graphicFrame macro="">
      <xdr:nvGraphicFramePr>
        <xdr:cNvPr id="5" name="Chart 4">
          <a:extLst>
            <a:ext uri="{FF2B5EF4-FFF2-40B4-BE49-F238E27FC236}">
              <a16:creationId xmlns:a16="http://schemas.microsoft.com/office/drawing/2014/main" id="{94973B01-1FE3-B557-560A-3D6C7AA99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211667</xdr:colOff>
      <xdr:row>20</xdr:row>
      <xdr:rowOff>80640</xdr:rowOff>
    </xdr:from>
    <xdr:to>
      <xdr:col>0</xdr:col>
      <xdr:colOff>937380</xdr:colOff>
      <xdr:row>23</xdr:row>
      <xdr:rowOff>161274</xdr:rowOff>
    </xdr:to>
    <xdr:pic>
      <xdr:nvPicPr>
        <xdr:cNvPr id="9" name="Graphic 8" descr="Customer review with solid fill">
          <a:hlinkClick xmlns:r="http://schemas.openxmlformats.org/officeDocument/2006/relationships" r:id="rId11"/>
          <a:extLst>
            <a:ext uri="{FF2B5EF4-FFF2-40B4-BE49-F238E27FC236}">
              <a16:creationId xmlns:a16="http://schemas.microsoft.com/office/drawing/2014/main" id="{828A64A5-CB6F-ED5C-4F74-B7513E32D06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11667" y="3941037"/>
          <a:ext cx="725713" cy="725713"/>
        </a:xfrm>
        <a:prstGeom prst="rect">
          <a:avLst/>
        </a:prstGeom>
      </xdr:spPr>
    </xdr:pic>
    <xdr:clientData/>
  </xdr:twoCellAnchor>
  <xdr:twoCellAnchor editAs="oneCell">
    <xdr:from>
      <xdr:col>0</xdr:col>
      <xdr:colOff>191508</xdr:colOff>
      <xdr:row>25</xdr:row>
      <xdr:rowOff>151191</xdr:rowOff>
    </xdr:from>
    <xdr:to>
      <xdr:col>0</xdr:col>
      <xdr:colOff>977698</xdr:colOff>
      <xdr:row>29</xdr:row>
      <xdr:rowOff>121858</xdr:rowOff>
    </xdr:to>
    <xdr:pic>
      <xdr:nvPicPr>
        <xdr:cNvPr id="10" name="Picture 9" descr="Indian rupee sign. Icon for design on blank background Icon of &quot;Indian rupee sign&quot; for your own design. Two icons with editable stroke included in the bundle: - One black icon on a white background. - One white icon on a black background. The layers are named to facilitate your customization. Vector Illustration (EPS10, well layered and grouped). Easy to edit, manipulate, resize or colorize. Vector and Jpeg file of different sizes. rupees symbol stock illustrations">
          <a:hlinkClick xmlns:r="http://schemas.openxmlformats.org/officeDocument/2006/relationships" r:id="rId14"/>
          <a:extLst>
            <a:ext uri="{FF2B5EF4-FFF2-40B4-BE49-F238E27FC236}">
              <a16:creationId xmlns:a16="http://schemas.microsoft.com/office/drawing/2014/main" id="{3AEFA546-4EA7-1D4D-4B2A-D9AF04FC74E2}"/>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51264"/>
        <a:stretch>
          <a:fillRect/>
        </a:stretch>
      </xdr:blipFill>
      <xdr:spPr bwMode="auto">
        <a:xfrm>
          <a:off x="191508" y="5140477"/>
          <a:ext cx="786190" cy="79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151191</xdr:colOff>
      <xdr:row>2</xdr:row>
      <xdr:rowOff>50395</xdr:rowOff>
    </xdr:from>
    <xdr:ext cx="7044301" cy="436786"/>
    <xdr:sp macro="" textlink="">
      <xdr:nvSpPr>
        <xdr:cNvPr id="3" name="TextBox 2">
          <a:extLst>
            <a:ext uri="{FF2B5EF4-FFF2-40B4-BE49-F238E27FC236}">
              <a16:creationId xmlns:a16="http://schemas.microsoft.com/office/drawing/2014/main" id="{284A640F-6727-7DC9-A01D-6614A64352F7}"/>
            </a:ext>
          </a:extLst>
        </xdr:cNvPr>
        <xdr:cNvSpPr txBox="1"/>
      </xdr:nvSpPr>
      <xdr:spPr>
        <a:xfrm>
          <a:off x="1390953" y="544284"/>
          <a:ext cx="704430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a:solidFill>
                <a:schemeClr val="bg1"/>
              </a:solidFill>
              <a:effectLst/>
              <a:latin typeface="+mn-lt"/>
              <a:ea typeface="+mn-ea"/>
              <a:cs typeface="+mn-cs"/>
            </a:rPr>
            <a:t>Figures in ₹ Cr unless stated   |   Actuals FY17–FY26, forecast FY27E–FY32E   |    Source: Company financials (Data Sheet)</a:t>
          </a:r>
        </a:p>
        <a:p>
          <a:endParaRPr lang="en-US">
            <a:solidFill>
              <a:schemeClr val="bg1"/>
            </a:solidFill>
            <a:effectLst/>
          </a:endParaRPr>
        </a:p>
      </xdr:txBody>
    </xdr:sp>
    <xdr:clientData/>
  </xdr:oneCellAnchor>
  <xdr:oneCellAnchor>
    <xdr:from>
      <xdr:col>1</xdr:col>
      <xdr:colOff>120953</xdr:colOff>
      <xdr:row>0</xdr:row>
      <xdr:rowOff>40317</xdr:rowOff>
    </xdr:from>
    <xdr:ext cx="7285328" cy="468013"/>
    <xdr:sp macro="" textlink="$C$1">
      <xdr:nvSpPr>
        <xdr:cNvPr id="8" name="TextBox 7">
          <a:extLst>
            <a:ext uri="{FF2B5EF4-FFF2-40B4-BE49-F238E27FC236}">
              <a16:creationId xmlns:a16="http://schemas.microsoft.com/office/drawing/2014/main" id="{CB6346B3-41D7-337C-30C4-8E1E8C655EB1}"/>
            </a:ext>
          </a:extLst>
        </xdr:cNvPr>
        <xdr:cNvSpPr txBox="1"/>
      </xdr:nvSpPr>
      <xdr:spPr>
        <a:xfrm>
          <a:off x="1360715" y="40317"/>
          <a:ext cx="728532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ACAA82C-38B2-4557-A401-325E9C01D7D7}" type="TxLink">
            <a:rPr lang="en-US" sz="2400" b="1" i="0" u="none" strike="noStrike">
              <a:solidFill>
                <a:schemeClr val="bg1"/>
              </a:solidFill>
              <a:latin typeface="Calibri"/>
              <a:ea typeface="Calibri"/>
              <a:cs typeface="Calibri"/>
            </a:rPr>
            <a:pPr/>
            <a:t>TITAN COMPANY LTD - FINANCIAL MODEL DASHBOARD</a:t>
          </a:fld>
          <a:endParaRPr lang="en-US" sz="2400" b="1">
            <a:solidFill>
              <a:schemeClr val="bg1"/>
            </a:solidFill>
          </a:endParaRPr>
        </a:p>
      </xdr:txBody>
    </xdr:sp>
    <xdr:clientData/>
  </xdr:oneCellAnchor>
  <xdr:oneCellAnchor>
    <xdr:from>
      <xdr:col>2</xdr:col>
      <xdr:colOff>191507</xdr:colOff>
      <xdr:row>11</xdr:row>
      <xdr:rowOff>90715</xdr:rowOff>
    </xdr:from>
    <xdr:ext cx="607089" cy="264560"/>
    <xdr:sp macro="" textlink="'Historical FS'!L6">
      <xdr:nvSpPr>
        <xdr:cNvPr id="16" name="TextBox 15">
          <a:extLst>
            <a:ext uri="{FF2B5EF4-FFF2-40B4-BE49-F238E27FC236}">
              <a16:creationId xmlns:a16="http://schemas.microsoft.com/office/drawing/2014/main" id="{BA307C77-3164-1CE2-33A8-BC4FE12E0A39}"/>
            </a:ext>
          </a:extLst>
        </xdr:cNvPr>
        <xdr:cNvSpPr txBox="1"/>
      </xdr:nvSpPr>
      <xdr:spPr>
        <a:xfrm>
          <a:off x="1763888" y="2217461"/>
          <a:ext cx="6070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7C894B8-E229-4E51-A1AA-EC77D0132D8E}" type="TxLink">
            <a:rPr lang="en-US" sz="1100" b="1" i="0" u="none" strike="noStrike">
              <a:solidFill>
                <a:sysClr val="windowText" lastClr="000000"/>
              </a:solidFill>
              <a:latin typeface="Calibri"/>
              <a:ea typeface="Calibri"/>
              <a:cs typeface="Calibri"/>
            </a:rPr>
            <a:pPr/>
            <a:t>44.87%</a:t>
          </a:fld>
          <a:endParaRPr lang="en-US" sz="1100" b="1">
            <a:solidFill>
              <a:sysClr val="windowText" lastClr="000000"/>
            </a:solidFill>
          </a:endParaRPr>
        </a:p>
      </xdr:txBody>
    </xdr:sp>
    <xdr:clientData/>
  </xdr:oneCellAnchor>
  <xdr:oneCellAnchor>
    <xdr:from>
      <xdr:col>13</xdr:col>
      <xdr:colOff>201587</xdr:colOff>
      <xdr:row>2</xdr:row>
      <xdr:rowOff>80635</xdr:rowOff>
    </xdr:from>
    <xdr:ext cx="184731" cy="264560"/>
    <xdr:sp macro="" textlink="">
      <xdr:nvSpPr>
        <xdr:cNvPr id="20" name="TextBox 19">
          <a:extLst>
            <a:ext uri="{FF2B5EF4-FFF2-40B4-BE49-F238E27FC236}">
              <a16:creationId xmlns:a16="http://schemas.microsoft.com/office/drawing/2014/main" id="{EBA4D180-13F4-FA37-1101-D6B8AE62CF6B}"/>
            </a:ext>
          </a:extLst>
        </xdr:cNvPr>
        <xdr:cNvSpPr txBox="1"/>
      </xdr:nvSpPr>
      <xdr:spPr>
        <a:xfrm>
          <a:off x="9504841" y="57452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453572</xdr:colOff>
      <xdr:row>11</xdr:row>
      <xdr:rowOff>90714</xdr:rowOff>
    </xdr:from>
    <xdr:ext cx="607089" cy="264560"/>
    <xdr:sp macro="" textlink="'Ratio Analysis'!N5">
      <xdr:nvSpPr>
        <xdr:cNvPr id="21" name="TextBox 20">
          <a:extLst>
            <a:ext uri="{FF2B5EF4-FFF2-40B4-BE49-F238E27FC236}">
              <a16:creationId xmlns:a16="http://schemas.microsoft.com/office/drawing/2014/main" id="{9ED188D6-57E9-0393-5761-35BFAAD96393}"/>
            </a:ext>
          </a:extLst>
        </xdr:cNvPr>
        <xdr:cNvSpPr txBox="1"/>
      </xdr:nvSpPr>
      <xdr:spPr>
        <a:xfrm>
          <a:off x="2923016" y="2217460"/>
          <a:ext cx="6070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3BC3428-DCA7-42A9-B9A6-46D6F215364D}" type="TxLink">
            <a:rPr lang="en-US" sz="1100" b="1" i="0" u="none" strike="noStrike">
              <a:solidFill>
                <a:srgbClr val="000000"/>
              </a:solidFill>
              <a:latin typeface="Calibri"/>
              <a:ea typeface="Calibri"/>
              <a:cs typeface="Calibri"/>
            </a:rPr>
            <a:t>24.06%</a:t>
          </a:fld>
          <a:endParaRPr lang="en-US" sz="1100" b="1">
            <a:solidFill>
              <a:sysClr val="windowText" lastClr="000000"/>
            </a:solidFill>
          </a:endParaRPr>
        </a:p>
      </xdr:txBody>
    </xdr:sp>
    <xdr:clientData/>
  </xdr:oneCellAnchor>
  <xdr:oneCellAnchor>
    <xdr:from>
      <xdr:col>2</xdr:col>
      <xdr:colOff>372937</xdr:colOff>
      <xdr:row>12</xdr:row>
      <xdr:rowOff>100792</xdr:rowOff>
    </xdr:from>
    <xdr:ext cx="791114" cy="264560"/>
    <xdr:sp macro="" textlink="'Projections '!M6">
      <xdr:nvSpPr>
        <xdr:cNvPr id="22" name="TextBox 21">
          <a:extLst>
            <a:ext uri="{FF2B5EF4-FFF2-40B4-BE49-F238E27FC236}">
              <a16:creationId xmlns:a16="http://schemas.microsoft.com/office/drawing/2014/main" id="{627DAF8C-7608-9F8A-0F0A-25B2FF130355}"/>
            </a:ext>
          </a:extLst>
        </xdr:cNvPr>
        <xdr:cNvSpPr txBox="1"/>
      </xdr:nvSpPr>
      <xdr:spPr>
        <a:xfrm>
          <a:off x="1945318" y="2408967"/>
          <a:ext cx="791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4FA3D30-E1AF-4963-B4D1-D606FAACBD30}" type="TxLink">
            <a:rPr lang="en-US" sz="1100" b="1" i="0" u="none" strike="noStrike">
              <a:solidFill>
                <a:srgbClr val="AC3004"/>
              </a:solidFill>
              <a:latin typeface="Calibri"/>
              <a:ea typeface="Calibri"/>
              <a:cs typeface="Calibri"/>
            </a:rPr>
            <a:pPr/>
            <a:t>1,08,023.9</a:t>
          </a:fld>
          <a:endParaRPr lang="en-US" sz="1100" b="1">
            <a:solidFill>
              <a:srgbClr val="AC3004"/>
            </a:solidFill>
          </a:endParaRPr>
        </a:p>
      </xdr:txBody>
    </xdr:sp>
    <xdr:clientData/>
  </xdr:oneCellAnchor>
  <xdr:oneCellAnchor>
    <xdr:from>
      <xdr:col>3</xdr:col>
      <xdr:colOff>292299</xdr:colOff>
      <xdr:row>12</xdr:row>
      <xdr:rowOff>100793</xdr:rowOff>
    </xdr:from>
    <xdr:ext cx="607089" cy="264560"/>
    <xdr:sp macro="" textlink="'Projections '!$M$7">
      <xdr:nvSpPr>
        <xdr:cNvPr id="23" name="TextBox 22">
          <a:extLst>
            <a:ext uri="{FF2B5EF4-FFF2-40B4-BE49-F238E27FC236}">
              <a16:creationId xmlns:a16="http://schemas.microsoft.com/office/drawing/2014/main" id="{9DBF8942-577C-4AA5-F9C9-441A074E5DC2}"/>
            </a:ext>
          </a:extLst>
        </xdr:cNvPr>
        <xdr:cNvSpPr txBox="1"/>
      </xdr:nvSpPr>
      <xdr:spPr>
        <a:xfrm>
          <a:off x="2761743" y="2408968"/>
          <a:ext cx="6070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9D39BD6-DA2D-4792-B04B-389BCB573757}" type="TxLink">
            <a:rPr lang="en-US" sz="1100" b="1" i="0" u="none" strike="noStrike">
              <a:solidFill>
                <a:srgbClr val="AC3004"/>
              </a:solidFill>
              <a:latin typeface="Calibri"/>
              <a:ea typeface="Calibri"/>
              <a:cs typeface="Calibri"/>
            </a:rPr>
            <a:pPr/>
            <a:t>23.34%</a:t>
          </a:fld>
          <a:endParaRPr lang="en-US" sz="1100" b="1">
            <a:solidFill>
              <a:srgbClr val="AC3004"/>
            </a:solidFill>
          </a:endParaRPr>
        </a:p>
      </xdr:txBody>
    </xdr:sp>
    <xdr:clientData/>
  </xdr:oneCellAnchor>
  <xdr:oneCellAnchor>
    <xdr:from>
      <xdr:col>8</xdr:col>
      <xdr:colOff>131032</xdr:colOff>
      <xdr:row>11</xdr:row>
      <xdr:rowOff>110873</xdr:rowOff>
    </xdr:from>
    <xdr:ext cx="535596" cy="264560"/>
    <xdr:sp macro="" textlink="'Historical FS'!L18">
      <xdr:nvSpPr>
        <xdr:cNvPr id="24" name="TextBox 23">
          <a:extLst>
            <a:ext uri="{FF2B5EF4-FFF2-40B4-BE49-F238E27FC236}">
              <a16:creationId xmlns:a16="http://schemas.microsoft.com/office/drawing/2014/main" id="{0E3C2B13-62FA-C578-5116-7C67B9DEA5EC}"/>
            </a:ext>
          </a:extLst>
        </xdr:cNvPr>
        <xdr:cNvSpPr txBox="1"/>
      </xdr:nvSpPr>
      <xdr:spPr>
        <a:xfrm>
          <a:off x="5674683" y="2237619"/>
          <a:ext cx="5355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322BFEC-C1BA-4576-B52A-B6EC9AC599A3}" type="TxLink">
            <a:rPr lang="en-US" sz="1100" b="1" i="0" u="none" strike="noStrike">
              <a:solidFill>
                <a:sysClr val="windowText" lastClr="000000"/>
              </a:solidFill>
              <a:latin typeface="Calibri"/>
              <a:ea typeface="Calibri"/>
              <a:cs typeface="Calibri"/>
            </a:rPr>
            <a:pPr/>
            <a:t>9.54%</a:t>
          </a:fld>
          <a:endParaRPr lang="en-US" sz="1100" b="1">
            <a:solidFill>
              <a:sysClr val="windowText" lastClr="000000"/>
            </a:solidFill>
          </a:endParaRPr>
        </a:p>
      </xdr:txBody>
    </xdr:sp>
    <xdr:clientData/>
  </xdr:oneCellAnchor>
  <xdr:oneCellAnchor>
    <xdr:from>
      <xdr:col>15</xdr:col>
      <xdr:colOff>302381</xdr:colOff>
      <xdr:row>11</xdr:row>
      <xdr:rowOff>40317</xdr:rowOff>
    </xdr:from>
    <xdr:ext cx="184731" cy="264560"/>
    <xdr:sp macro="" textlink="">
      <xdr:nvSpPr>
        <xdr:cNvPr id="26" name="TextBox 25">
          <a:extLst>
            <a:ext uri="{FF2B5EF4-FFF2-40B4-BE49-F238E27FC236}">
              <a16:creationId xmlns:a16="http://schemas.microsoft.com/office/drawing/2014/main" id="{4EC7B654-B926-22E8-2EBF-678A9326FECD}"/>
            </a:ext>
          </a:extLst>
        </xdr:cNvPr>
        <xdr:cNvSpPr txBox="1"/>
      </xdr:nvSpPr>
      <xdr:spPr>
        <a:xfrm>
          <a:off x="11319127" y="216706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554366</xdr:colOff>
      <xdr:row>8</xdr:row>
      <xdr:rowOff>30238</xdr:rowOff>
    </xdr:from>
    <xdr:ext cx="216534" cy="264560"/>
    <xdr:sp macro="" textlink="$M$10">
      <xdr:nvSpPr>
        <xdr:cNvPr id="27" name="TextBox 26">
          <a:extLst>
            <a:ext uri="{FF2B5EF4-FFF2-40B4-BE49-F238E27FC236}">
              <a16:creationId xmlns:a16="http://schemas.microsoft.com/office/drawing/2014/main" id="{9EE325CA-30D3-553B-7C9A-113E6190CC5C}"/>
            </a:ext>
          </a:extLst>
        </xdr:cNvPr>
        <xdr:cNvSpPr txBox="1"/>
      </xdr:nvSpPr>
      <xdr:spPr>
        <a:xfrm>
          <a:off x="7690556" y="1612698"/>
          <a:ext cx="2165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E5E1E99-D11D-4421-8DB3-91B7541EF70D}" type="TxLink">
            <a:rPr lang="en-US" sz="1100" b="0" i="0" u="none" strike="noStrike">
              <a:solidFill>
                <a:srgbClr val="BFBFBF"/>
              </a:solidFill>
              <a:latin typeface="Calibri"/>
              <a:ea typeface="Calibri"/>
              <a:cs typeface="Calibri"/>
            </a:rPr>
            <a:pPr/>
            <a:t> </a:t>
          </a:fld>
          <a:endParaRPr lang="en-US" sz="1100"/>
        </a:p>
      </xdr:txBody>
    </xdr:sp>
    <xdr:clientData/>
  </xdr:oneCellAnchor>
  <xdr:oneCellAnchor>
    <xdr:from>
      <xdr:col>9</xdr:col>
      <xdr:colOff>635002</xdr:colOff>
      <xdr:row>11</xdr:row>
      <xdr:rowOff>100794</xdr:rowOff>
    </xdr:from>
    <xdr:ext cx="607089" cy="264560"/>
    <xdr:sp macro="" textlink="'Ratio Analysis'!N12">
      <xdr:nvSpPr>
        <xdr:cNvPr id="28" name="TextBox 27">
          <a:extLst>
            <a:ext uri="{FF2B5EF4-FFF2-40B4-BE49-F238E27FC236}">
              <a16:creationId xmlns:a16="http://schemas.microsoft.com/office/drawing/2014/main" id="{A79C2BD5-E81C-F8FF-03C0-0A28EBD11FE5}"/>
            </a:ext>
          </a:extLst>
        </xdr:cNvPr>
        <xdr:cNvSpPr txBox="1"/>
      </xdr:nvSpPr>
      <xdr:spPr>
        <a:xfrm>
          <a:off x="6793494" y="2227540"/>
          <a:ext cx="6070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CB7D40E-160F-4D40-B104-CF6ADB8F57CF}" type="TxLink">
            <a:rPr lang="en-US" sz="1100" b="1" i="0" u="none" strike="noStrike">
              <a:solidFill>
                <a:srgbClr val="000000"/>
              </a:solidFill>
              <a:latin typeface="Calibri"/>
              <a:ea typeface="Calibri"/>
              <a:cs typeface="Calibri"/>
            </a:rPr>
            <a:t>10.17%</a:t>
          </a:fld>
          <a:endParaRPr lang="en-US" sz="1100" b="1">
            <a:solidFill>
              <a:sysClr val="windowText" lastClr="000000"/>
            </a:solidFill>
          </a:endParaRPr>
        </a:p>
      </xdr:txBody>
    </xdr:sp>
    <xdr:clientData/>
  </xdr:oneCellAnchor>
  <xdr:oneCellAnchor>
    <xdr:from>
      <xdr:col>8</xdr:col>
      <xdr:colOff>171351</xdr:colOff>
      <xdr:row>12</xdr:row>
      <xdr:rowOff>100796</xdr:rowOff>
    </xdr:from>
    <xdr:ext cx="687689" cy="264560"/>
    <xdr:sp macro="" textlink="'Projections '!M28">
      <xdr:nvSpPr>
        <xdr:cNvPr id="29" name="TextBox 28">
          <a:extLst>
            <a:ext uri="{FF2B5EF4-FFF2-40B4-BE49-F238E27FC236}">
              <a16:creationId xmlns:a16="http://schemas.microsoft.com/office/drawing/2014/main" id="{9F731C94-74EA-3EB6-264B-45D9191DA2D8}"/>
            </a:ext>
          </a:extLst>
        </xdr:cNvPr>
        <xdr:cNvSpPr txBox="1"/>
      </xdr:nvSpPr>
      <xdr:spPr>
        <a:xfrm>
          <a:off x="5715002" y="2408971"/>
          <a:ext cx="6876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D817013-2B62-44AC-9E17-F6EA021F2FEC}" type="TxLink">
            <a:rPr lang="en-US" sz="1100" b="1" i="0" u="none" strike="noStrike">
              <a:solidFill>
                <a:srgbClr val="A6190A"/>
              </a:solidFill>
              <a:latin typeface="Calibri"/>
              <a:ea typeface="Calibri"/>
              <a:cs typeface="Calibri"/>
            </a:rPr>
            <a:pPr/>
            <a:t>10,403.4</a:t>
          </a:fld>
          <a:endParaRPr lang="en-US" sz="1100" b="1">
            <a:solidFill>
              <a:srgbClr val="A6190A"/>
            </a:solidFill>
          </a:endParaRPr>
        </a:p>
      </xdr:txBody>
    </xdr:sp>
    <xdr:clientData/>
  </xdr:oneCellAnchor>
  <xdr:oneCellAnchor>
    <xdr:from>
      <xdr:col>12</xdr:col>
      <xdr:colOff>685397</xdr:colOff>
      <xdr:row>11</xdr:row>
      <xdr:rowOff>90713</xdr:rowOff>
    </xdr:from>
    <xdr:ext cx="506229" cy="264560"/>
    <xdr:sp macro="" textlink="'Historical FS'!L44">
      <xdr:nvSpPr>
        <xdr:cNvPr id="30" name="TextBox 29">
          <a:extLst>
            <a:ext uri="{FF2B5EF4-FFF2-40B4-BE49-F238E27FC236}">
              <a16:creationId xmlns:a16="http://schemas.microsoft.com/office/drawing/2014/main" id="{1C982F35-6F2E-FEBA-4A24-9CE0B94A8B5B}"/>
            </a:ext>
          </a:extLst>
        </xdr:cNvPr>
        <xdr:cNvSpPr txBox="1"/>
      </xdr:nvSpPr>
      <xdr:spPr>
        <a:xfrm>
          <a:off x="9121826" y="2217459"/>
          <a:ext cx="5062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6048F61-092D-44A3-84EB-87A78FF846FA}" type="TxLink">
            <a:rPr lang="en-US" sz="1100" b="0" i="0" u="none" strike="noStrike">
              <a:solidFill>
                <a:srgbClr val="000000"/>
              </a:solidFill>
              <a:latin typeface="Calibri"/>
              <a:ea typeface="Calibri"/>
              <a:cs typeface="Calibri"/>
            </a:rPr>
            <a:pPr/>
            <a:t>₹57.0</a:t>
          </a:fld>
          <a:endParaRPr lang="en-US" sz="1100"/>
        </a:p>
      </xdr:txBody>
    </xdr:sp>
    <xdr:clientData/>
  </xdr:oneCellAnchor>
  <xdr:oneCellAnchor>
    <xdr:from>
      <xdr:col>14</xdr:col>
      <xdr:colOff>282223</xdr:colOff>
      <xdr:row>11</xdr:row>
      <xdr:rowOff>90715</xdr:rowOff>
    </xdr:from>
    <xdr:ext cx="535596" cy="264560"/>
    <xdr:sp macro="" textlink="'Historical FS'!$L$40">
      <xdr:nvSpPr>
        <xdr:cNvPr id="31" name="TextBox 30">
          <a:extLst>
            <a:ext uri="{FF2B5EF4-FFF2-40B4-BE49-F238E27FC236}">
              <a16:creationId xmlns:a16="http://schemas.microsoft.com/office/drawing/2014/main" id="{59DC0B45-CC05-55F0-B71F-67ABD17A1D78}"/>
            </a:ext>
          </a:extLst>
        </xdr:cNvPr>
        <xdr:cNvSpPr txBox="1"/>
      </xdr:nvSpPr>
      <xdr:spPr>
        <a:xfrm>
          <a:off x="10432144" y="2217461"/>
          <a:ext cx="5355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BAB66AD-0245-4FFE-8EF1-553523ADA43B}" type="TxLink">
            <a:rPr lang="en-US" sz="1100" b="1" i="0" u="none" strike="noStrike">
              <a:solidFill>
                <a:schemeClr val="tx1"/>
              </a:solidFill>
              <a:latin typeface="Calibri"/>
              <a:ea typeface="Calibri"/>
              <a:cs typeface="Calibri"/>
            </a:rPr>
            <a:pPr/>
            <a:t>5.79%</a:t>
          </a:fld>
          <a:endParaRPr lang="en-US" sz="1100" b="1">
            <a:solidFill>
              <a:schemeClr val="tx1"/>
            </a:solidFill>
          </a:endParaRPr>
        </a:p>
      </xdr:txBody>
    </xdr:sp>
    <xdr:clientData/>
  </xdr:oneCellAnchor>
  <xdr:oneCellAnchor>
    <xdr:from>
      <xdr:col>16</xdr:col>
      <xdr:colOff>383016</xdr:colOff>
      <xdr:row>3</xdr:row>
      <xdr:rowOff>80635</xdr:rowOff>
    </xdr:from>
    <xdr:ext cx="184731" cy="264560"/>
    <xdr:sp macro="" textlink="">
      <xdr:nvSpPr>
        <xdr:cNvPr id="1024" name="TextBox 1023">
          <a:extLst>
            <a:ext uri="{FF2B5EF4-FFF2-40B4-BE49-F238E27FC236}">
              <a16:creationId xmlns:a16="http://schemas.microsoft.com/office/drawing/2014/main" id="{A640DCAD-6FD1-3557-697B-E7DB07D6A69A}"/>
            </a:ext>
          </a:extLst>
        </xdr:cNvPr>
        <xdr:cNvSpPr txBox="1"/>
      </xdr:nvSpPr>
      <xdr:spPr>
        <a:xfrm>
          <a:off x="12246429" y="75595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12</xdr:col>
      <xdr:colOff>766039</xdr:colOff>
      <xdr:row>12</xdr:row>
      <xdr:rowOff>100788</xdr:rowOff>
    </xdr:from>
    <xdr:ext cx="687689" cy="264560"/>
    <xdr:sp macro="" textlink="'Historical FS'!M39">
      <xdr:nvSpPr>
        <xdr:cNvPr id="1025" name="TextBox 1024">
          <a:extLst>
            <a:ext uri="{FF2B5EF4-FFF2-40B4-BE49-F238E27FC236}">
              <a16:creationId xmlns:a16="http://schemas.microsoft.com/office/drawing/2014/main" id="{D6798814-BAB6-BCBB-9B99-C50DD8800C4F}"/>
            </a:ext>
          </a:extLst>
        </xdr:cNvPr>
        <xdr:cNvSpPr txBox="1"/>
      </xdr:nvSpPr>
      <xdr:spPr>
        <a:xfrm>
          <a:off x="9202468" y="2408963"/>
          <a:ext cx="6876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2AE0034-318F-492D-ADB1-16DC2622CDE9}" type="TxLink">
            <a:rPr lang="en-US" sz="1100" b="1" i="0" u="none" strike="noStrike">
              <a:solidFill>
                <a:srgbClr val="AC3004"/>
              </a:solidFill>
              <a:latin typeface="Calibri"/>
              <a:ea typeface="Calibri"/>
              <a:cs typeface="Calibri"/>
            </a:rPr>
            <a:pPr/>
            <a:t>₹5,760.0</a:t>
          </a:fld>
          <a:endParaRPr lang="en-US" sz="1100">
            <a:solidFill>
              <a:srgbClr val="AC3004"/>
            </a:solidFill>
          </a:endParaRPr>
        </a:p>
      </xdr:txBody>
    </xdr:sp>
    <xdr:clientData/>
  </xdr:oneCellAnchor>
  <xdr:oneCellAnchor>
    <xdr:from>
      <xdr:col>14</xdr:col>
      <xdr:colOff>604761</xdr:colOff>
      <xdr:row>12</xdr:row>
      <xdr:rowOff>100794</xdr:rowOff>
    </xdr:from>
    <xdr:ext cx="506229" cy="264560"/>
    <xdr:sp macro="" textlink="'Historical FS'!M44">
      <xdr:nvSpPr>
        <xdr:cNvPr id="1028" name="TextBox 1027">
          <a:extLst>
            <a:ext uri="{FF2B5EF4-FFF2-40B4-BE49-F238E27FC236}">
              <a16:creationId xmlns:a16="http://schemas.microsoft.com/office/drawing/2014/main" id="{4E475679-B78E-2DE0-BA05-CD955F5A1BA0}"/>
            </a:ext>
          </a:extLst>
        </xdr:cNvPr>
        <xdr:cNvSpPr txBox="1"/>
      </xdr:nvSpPr>
      <xdr:spPr>
        <a:xfrm>
          <a:off x="10754682" y="2408969"/>
          <a:ext cx="5062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619CE57-8CA5-44C7-96B9-50FCEC73CE02}" type="TxLink">
            <a:rPr lang="en-US" sz="1100" b="1" i="0" u="none" strike="noStrike">
              <a:solidFill>
                <a:srgbClr val="AC3004"/>
              </a:solidFill>
              <a:latin typeface="Calibri"/>
              <a:ea typeface="Calibri"/>
              <a:cs typeface="Calibri"/>
            </a:rPr>
            <a:pPr/>
            <a:t>₹64.7</a:t>
          </a:fld>
          <a:endParaRPr lang="en-US" sz="1100" b="1">
            <a:solidFill>
              <a:srgbClr val="AC3004"/>
            </a:solidFill>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creener.in/exce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7496-6429-41B3-AD50-B156A42B07A9}">
  <dimension ref="A1:AD52"/>
  <sheetViews>
    <sheetView showGridLines="0" tabSelected="1" zoomScale="63" zoomScaleNormal="109" workbookViewId="0">
      <selection activeCell="Y12" sqref="Y12"/>
    </sheetView>
  </sheetViews>
  <sheetFormatPr defaultRowHeight="14.5" outlineLevelRow="1" x14ac:dyDescent="0.35"/>
  <cols>
    <col min="1" max="1" width="17.7265625" style="66" customWidth="1"/>
    <col min="2" max="2" width="4.81640625" style="66" customWidth="1"/>
    <col min="3" max="3" width="12.81640625" style="66" customWidth="1"/>
    <col min="4" max="9" width="8.81640625" style="66" bestFit="1" customWidth="1"/>
    <col min="10" max="10" width="14" style="66" customWidth="1"/>
    <col min="11" max="11" width="9.81640625" style="66" customWidth="1"/>
    <col min="12" max="12" width="8.81640625" style="66" customWidth="1"/>
    <col min="13" max="13" width="12.453125" style="66" customWidth="1"/>
    <col min="14" max="14" width="12.08984375" style="66" customWidth="1"/>
    <col min="15" max="15" width="12.453125" style="66" customWidth="1"/>
    <col min="16" max="16" width="12.1796875" style="66" customWidth="1"/>
    <col min="17" max="17" width="12.54296875" style="66" customWidth="1"/>
    <col min="18" max="18" width="4.36328125" style="66" customWidth="1"/>
    <col min="19" max="19" width="24.26953125" style="66" customWidth="1"/>
    <col min="20" max="20" width="11.1796875" style="66" customWidth="1"/>
    <col min="21" max="21" width="8.7265625" style="66"/>
    <col min="22" max="22" width="10.453125" style="66" customWidth="1"/>
    <col min="23" max="16384" width="8.7265625" style="66"/>
  </cols>
  <sheetData>
    <row r="1" spans="1:30" ht="21" x14ac:dyDescent="0.35">
      <c r="A1" s="65"/>
      <c r="C1" s="99" t="str">
        <f>'Data Sheet'!B1&amp; " - FINANCIAL MODEL DASHBOARD"</f>
        <v>TITAN COMPANY LTD - FINANCIAL MODEL DASHBOARD</v>
      </c>
      <c r="S1" s="107" t="s">
        <v>174</v>
      </c>
      <c r="T1" s="108"/>
      <c r="U1" s="108"/>
      <c r="V1" s="108"/>
      <c r="W1" s="109"/>
    </row>
    <row r="2" spans="1:30" ht="18.5" x14ac:dyDescent="0.35">
      <c r="A2" s="65"/>
      <c r="S2" s="110" t="s">
        <v>175</v>
      </c>
      <c r="T2" s="111"/>
      <c r="U2" s="78" t="s">
        <v>176</v>
      </c>
      <c r="V2" s="78" t="s">
        <v>177</v>
      </c>
      <c r="W2" s="79" t="s">
        <v>178</v>
      </c>
    </row>
    <row r="3" spans="1:30" x14ac:dyDescent="0.35">
      <c r="A3" s="65"/>
      <c r="R3" s="69"/>
      <c r="S3" s="71" t="str">
        <f>'Ratio Analysis'!B5</f>
        <v>Sales Growth</v>
      </c>
      <c r="T3" s="71"/>
      <c r="U3" s="74">
        <f>'Ratio Analysis'!L5</f>
        <v>0.448723038242689</v>
      </c>
      <c r="V3" s="74">
        <f>'Ratio Analysis'!N5</f>
        <v>0.24063785066608087</v>
      </c>
      <c r="W3" s="97" t="str">
        <f>IF(U3&gt;V3,"▲","▼")</f>
        <v>▲</v>
      </c>
      <c r="X3" s="69"/>
      <c r="Y3" s="69"/>
      <c r="Z3" s="69"/>
      <c r="AA3" s="69"/>
      <c r="AB3" s="69"/>
      <c r="AC3" s="69"/>
      <c r="AD3" s="69"/>
    </row>
    <row r="4" spans="1:30" x14ac:dyDescent="0.35">
      <c r="A4" s="65"/>
      <c r="R4" s="69"/>
      <c r="S4" s="71" t="str">
        <f>'Ratio Analysis'!B12</f>
        <v>EBITDA Margin</v>
      </c>
      <c r="T4" s="71"/>
      <c r="U4" s="74">
        <f>'Ratio Analysis'!L12</f>
        <v>9.5416971136280601E-2</v>
      </c>
      <c r="V4" s="74">
        <f>'Ratio Analysis'!N12</f>
        <v>0.10169001281236993</v>
      </c>
      <c r="W4" s="97" t="str">
        <f t="shared" ref="W4:W10" si="0">IF(U4&gt;V4,"▲","▼")</f>
        <v>▼</v>
      </c>
      <c r="X4" s="69"/>
      <c r="Y4" s="69"/>
      <c r="Z4" s="69"/>
      <c r="AA4" s="69"/>
      <c r="AB4" s="69"/>
      <c r="AC4" s="69"/>
      <c r="AD4" s="69"/>
    </row>
    <row r="5" spans="1:30" x14ac:dyDescent="0.35">
      <c r="A5" s="65"/>
      <c r="R5" s="69"/>
      <c r="S5" s="71" t="str">
        <f>'Ratio Analysis'!B15</f>
        <v>Net Profit Margin</v>
      </c>
      <c r="T5" s="71"/>
      <c r="U5" s="74">
        <f>'Ratio Analysis'!L15</f>
        <v>5.792153818048959E-2</v>
      </c>
      <c r="V5" s="74">
        <f>'Ratio Analysis'!N15</f>
        <v>6.4811347908474648E-2</v>
      </c>
      <c r="W5" s="97" t="str">
        <f t="shared" si="0"/>
        <v>▼</v>
      </c>
      <c r="X5" s="69"/>
      <c r="Y5" s="69"/>
      <c r="Z5" s="69"/>
      <c r="AA5" s="69"/>
      <c r="AB5" s="69"/>
      <c r="AC5" s="69"/>
      <c r="AD5" s="69"/>
    </row>
    <row r="6" spans="1:30" x14ac:dyDescent="0.35">
      <c r="A6" s="65"/>
      <c r="R6" s="69"/>
      <c r="S6" s="71" t="s">
        <v>179</v>
      </c>
      <c r="T6" s="71"/>
      <c r="U6" s="74">
        <f>'Ratio Analysis'!L21</f>
        <v>0.16257231672567135</v>
      </c>
      <c r="V6" s="74">
        <f>'Ratio Analysis'!N21</f>
        <v>0.18139911815808257</v>
      </c>
      <c r="W6" s="97" t="str">
        <f t="shared" si="0"/>
        <v>▼</v>
      </c>
      <c r="X6" s="69"/>
      <c r="Y6" s="69"/>
      <c r="Z6" s="69"/>
      <c r="AA6" s="69"/>
      <c r="AB6" s="69"/>
      <c r="AC6" s="69"/>
      <c r="AD6" s="69"/>
    </row>
    <row r="7" spans="1:30" x14ac:dyDescent="0.35">
      <c r="A7" s="65"/>
      <c r="R7" s="69"/>
      <c r="S7" s="71" t="s">
        <v>180</v>
      </c>
      <c r="T7" s="71"/>
      <c r="U7" s="74">
        <f>'Ratio Analysis'!L23</f>
        <v>0.32305928803413358</v>
      </c>
      <c r="V7" s="74">
        <f>'Ratio Analysis'!N23</f>
        <v>0.24664542621037033</v>
      </c>
      <c r="W7" s="97" t="str">
        <f t="shared" si="0"/>
        <v>▲</v>
      </c>
      <c r="X7" s="69"/>
      <c r="Y7" s="69"/>
      <c r="Z7" s="69"/>
      <c r="AA7" s="69"/>
      <c r="AB7" s="69"/>
      <c r="AC7" s="69"/>
      <c r="AD7" s="69"/>
    </row>
    <row r="8" spans="1:30" x14ac:dyDescent="0.35">
      <c r="A8" s="65"/>
      <c r="R8" s="69"/>
      <c r="S8" s="71" t="str">
        <f>'Ratio Analysis'!B24</f>
        <v>Sustainable Growth Rate</v>
      </c>
      <c r="T8" s="71"/>
      <c r="U8" s="74">
        <f>'Ratio Analysis'!L24</f>
        <v>0.23804368591988792</v>
      </c>
      <c r="V8" s="74">
        <f>'Ratio Analysis'!N24</f>
        <v>0.17521970197128861</v>
      </c>
      <c r="W8" s="97" t="str">
        <f t="shared" si="0"/>
        <v>▲</v>
      </c>
      <c r="X8" s="69"/>
      <c r="Y8" s="69"/>
      <c r="Z8" s="69"/>
      <c r="AA8" s="69"/>
      <c r="AB8" s="69"/>
      <c r="AC8" s="69"/>
      <c r="AD8" s="69"/>
    </row>
    <row r="9" spans="1:30" x14ac:dyDescent="0.35">
      <c r="A9" s="65"/>
      <c r="R9" s="69"/>
      <c r="S9" s="71" t="str">
        <f>'Ratio Analysis'!B25</f>
        <v>Interest Coverage Ratio</v>
      </c>
      <c r="T9" s="71"/>
      <c r="U9" s="96">
        <f>'Ratio Analysis'!L25</f>
        <v>6.3822033898305088</v>
      </c>
      <c r="V9" s="83">
        <f>'Ratio Analysis'!N25</f>
        <v>15.828527637758416</v>
      </c>
      <c r="W9" s="97" t="str">
        <f t="shared" si="0"/>
        <v>▼</v>
      </c>
      <c r="X9" s="80"/>
      <c r="Y9" s="69"/>
      <c r="Z9" s="69"/>
      <c r="AA9" s="69"/>
      <c r="AB9" s="69"/>
      <c r="AC9" s="69"/>
      <c r="AD9" s="69"/>
    </row>
    <row r="10" spans="1:30" x14ac:dyDescent="0.35">
      <c r="A10" s="65"/>
      <c r="R10" s="69"/>
      <c r="S10" s="71" t="str">
        <f>'Ratio Analysis'!B36</f>
        <v>Inventory Days</v>
      </c>
      <c r="T10" s="71"/>
      <c r="U10" s="82">
        <f>'Ratio Analysis'!L36</f>
        <v>212.37384462503914</v>
      </c>
      <c r="V10" s="82">
        <f>'Ratio Analysis'!N36</f>
        <v>184.08998704289175</v>
      </c>
      <c r="W10" s="97" t="str">
        <f t="shared" si="0"/>
        <v>▲</v>
      </c>
      <c r="X10" s="69"/>
      <c r="Y10" s="69"/>
      <c r="Z10" s="69"/>
      <c r="AA10" s="69"/>
      <c r="AB10" s="69"/>
      <c r="AC10" s="69"/>
      <c r="AD10" s="69"/>
    </row>
    <row r="11" spans="1:30" x14ac:dyDescent="0.35">
      <c r="A11" s="65"/>
      <c r="R11" s="69"/>
      <c r="S11" s="84" t="s">
        <v>181</v>
      </c>
      <c r="T11" s="84"/>
      <c r="U11" s="84"/>
      <c r="V11" s="84"/>
      <c r="W11" s="84"/>
      <c r="X11" s="85"/>
      <c r="Y11" s="69"/>
      <c r="Z11" s="69"/>
      <c r="AA11" s="69"/>
      <c r="AB11" s="69"/>
      <c r="AC11" s="69"/>
      <c r="AD11" s="69"/>
    </row>
    <row r="12" spans="1:30" x14ac:dyDescent="0.35">
      <c r="A12" s="65"/>
      <c r="F12" s="104">
        <f>AVERAGE('Historical FS'!D6:L6)</f>
        <v>0.24063785066608087</v>
      </c>
      <c r="R12" s="69"/>
      <c r="X12" s="69"/>
      <c r="Y12" s="69"/>
      <c r="Z12" s="69"/>
      <c r="AA12" s="69"/>
      <c r="AB12" s="69"/>
      <c r="AC12" s="69"/>
      <c r="AD12" s="69"/>
    </row>
    <row r="13" spans="1:30" ht="18.5" x14ac:dyDescent="0.35">
      <c r="A13" s="65"/>
      <c r="M13" s="104">
        <f>AVERAGE('Historical FS'!C18:L18)</f>
        <v>0.10169001281236993</v>
      </c>
      <c r="R13" s="69"/>
      <c r="S13" s="112" t="s">
        <v>182</v>
      </c>
      <c r="T13" s="113"/>
      <c r="U13" s="113"/>
      <c r="V13" s="113"/>
      <c r="W13" s="114"/>
      <c r="X13" s="69"/>
      <c r="Y13" s="69"/>
      <c r="Z13" s="69"/>
      <c r="AA13" s="69"/>
      <c r="AB13" s="69"/>
      <c r="AC13" s="69"/>
      <c r="AD13" s="69"/>
    </row>
    <row r="14" spans="1:30" x14ac:dyDescent="0.35">
      <c r="A14" s="65"/>
      <c r="R14" s="69"/>
      <c r="S14" s="71"/>
      <c r="T14" s="71"/>
      <c r="U14" s="71"/>
      <c r="V14" s="71"/>
      <c r="W14" s="71"/>
      <c r="X14" s="69"/>
      <c r="Y14" s="69"/>
      <c r="Z14" s="69"/>
      <c r="AA14" s="69"/>
      <c r="AB14" s="69"/>
      <c r="AC14" s="69"/>
      <c r="AD14" s="69"/>
    </row>
    <row r="15" spans="1:30" x14ac:dyDescent="0.35">
      <c r="A15" s="65"/>
      <c r="R15" s="69"/>
      <c r="S15" s="71"/>
      <c r="T15" s="71"/>
      <c r="U15" s="71"/>
      <c r="V15" s="71"/>
      <c r="W15" s="71"/>
      <c r="X15" s="69"/>
      <c r="Y15" s="69"/>
      <c r="Z15" s="69"/>
      <c r="AA15" s="69"/>
      <c r="AB15" s="69"/>
      <c r="AC15" s="69"/>
      <c r="AD15" s="69"/>
    </row>
    <row r="16" spans="1:30" ht="18.5" x14ac:dyDescent="0.35">
      <c r="A16" s="65"/>
      <c r="L16" s="70"/>
      <c r="M16" s="70"/>
      <c r="N16" s="77" t="s">
        <v>170</v>
      </c>
      <c r="O16" s="71"/>
      <c r="P16" s="71"/>
      <c r="Q16" s="71"/>
      <c r="R16" s="69"/>
      <c r="S16" s="71" t="s">
        <v>68</v>
      </c>
      <c r="T16" s="71"/>
      <c r="U16" s="71"/>
      <c r="V16" s="71"/>
      <c r="W16" s="71"/>
      <c r="X16" s="69"/>
      <c r="Y16" s="69"/>
      <c r="Z16" s="69"/>
      <c r="AA16" s="69"/>
      <c r="AB16" s="69"/>
      <c r="AC16" s="69"/>
      <c r="AD16" s="69"/>
    </row>
    <row r="17" spans="1:30" x14ac:dyDescent="0.35">
      <c r="A17" s="65"/>
      <c r="L17" s="70"/>
      <c r="M17" s="70"/>
      <c r="N17" s="70"/>
      <c r="O17" s="70"/>
      <c r="P17" s="70"/>
      <c r="Q17" s="70"/>
      <c r="R17" s="69"/>
      <c r="S17" s="71"/>
      <c r="T17" s="71"/>
      <c r="U17" s="71"/>
      <c r="V17" s="71"/>
      <c r="W17" s="71"/>
      <c r="X17" s="69"/>
      <c r="Y17" s="69"/>
      <c r="Z17" s="69"/>
      <c r="AA17" s="69"/>
      <c r="AB17" s="69"/>
      <c r="AC17" s="69"/>
      <c r="AD17" s="69"/>
    </row>
    <row r="18" spans="1:30" x14ac:dyDescent="0.35">
      <c r="A18" s="65"/>
      <c r="L18" s="115" t="s">
        <v>171</v>
      </c>
      <c r="M18" s="115"/>
      <c r="N18" s="94">
        <f>'Projections '!L6*(1+Dashboard!Q18)</f>
        <v>108023.85512295051</v>
      </c>
      <c r="O18" s="117" t="str">
        <f>'Sensitivity Analysis'!B3</f>
        <v>Sales Growth Rate</v>
      </c>
      <c r="P18" s="117"/>
      <c r="Q18" s="95">
        <f>'Sensitivity Analysis'!G3</f>
        <v>0.23337430492955913</v>
      </c>
      <c r="R18" s="69"/>
      <c r="S18" s="71"/>
      <c r="T18" s="71"/>
      <c r="U18" s="71"/>
      <c r="V18" s="71"/>
      <c r="W18" s="71"/>
      <c r="X18" s="69"/>
      <c r="Y18" s="69"/>
      <c r="Z18" s="69"/>
      <c r="AA18" s="69"/>
      <c r="AB18" s="69"/>
      <c r="AC18" s="69"/>
      <c r="AD18" s="69"/>
    </row>
    <row r="19" spans="1:30" x14ac:dyDescent="0.35">
      <c r="A19" s="65"/>
      <c r="L19" s="116" t="s">
        <v>172</v>
      </c>
      <c r="M19" s="116"/>
      <c r="N19" s="105">
        <f>N18*Q19</f>
        <v>10403.42842797469</v>
      </c>
      <c r="O19" s="117" t="str">
        <f>'Sensitivity Analysis'!B4</f>
        <v>EBITDA Margin</v>
      </c>
      <c r="P19" s="117"/>
      <c r="Q19" s="95">
        <f>'Sensitivity Analysis'!G4</f>
        <v>9.6306768686728716E-2</v>
      </c>
      <c r="R19" s="69"/>
      <c r="S19" s="71"/>
      <c r="T19" s="71"/>
      <c r="U19" s="71"/>
      <c r="V19" s="71"/>
      <c r="W19" s="71"/>
      <c r="X19" s="69"/>
      <c r="Y19" s="69"/>
      <c r="Z19" s="69"/>
      <c r="AA19" s="69"/>
      <c r="AB19" s="69"/>
      <c r="AC19" s="69"/>
      <c r="AD19" s="69"/>
    </row>
    <row r="20" spans="1:30" x14ac:dyDescent="0.35">
      <c r="A20" s="65"/>
      <c r="L20" s="72"/>
      <c r="M20" s="72"/>
      <c r="N20" s="75"/>
      <c r="O20" s="73"/>
      <c r="P20" s="73"/>
      <c r="Q20" s="74"/>
      <c r="R20" s="69"/>
      <c r="S20" s="71"/>
      <c r="T20" s="71"/>
      <c r="U20" s="71"/>
      <c r="V20" s="71"/>
      <c r="W20" s="71"/>
      <c r="X20" s="69"/>
      <c r="Y20" s="69"/>
      <c r="Z20" s="69"/>
      <c r="AA20" s="69"/>
      <c r="AB20" s="69"/>
      <c r="AC20" s="69"/>
      <c r="AD20" s="69"/>
    </row>
    <row r="21" spans="1:30" x14ac:dyDescent="0.35">
      <c r="A21" s="65"/>
      <c r="L21" s="70"/>
      <c r="M21" s="70"/>
      <c r="N21" s="70"/>
      <c r="O21" s="71"/>
      <c r="P21" s="71"/>
      <c r="Q21" s="71"/>
      <c r="R21" s="69"/>
      <c r="S21" s="71"/>
      <c r="T21" s="71"/>
      <c r="U21" s="71"/>
      <c r="V21" s="71"/>
      <c r="W21" s="71"/>
      <c r="X21" s="69"/>
      <c r="Y21" s="69"/>
      <c r="Z21" s="69"/>
      <c r="AA21" s="69"/>
      <c r="AB21" s="69"/>
      <c r="AC21" s="69"/>
      <c r="AD21" s="69"/>
    </row>
    <row r="22" spans="1:30" ht="18.5" x14ac:dyDescent="0.45">
      <c r="A22" s="65"/>
      <c r="L22" s="81">
        <f>N19</f>
        <v>10403.42842797469</v>
      </c>
      <c r="M22" s="101">
        <f>N22-0.05</f>
        <v>0.13337430492955915</v>
      </c>
      <c r="N22" s="101">
        <f>O22-0.05</f>
        <v>0.18337430492955914</v>
      </c>
      <c r="O22" s="101">
        <f>'Projections '!$M$7</f>
        <v>0.23337430492955913</v>
      </c>
      <c r="P22" s="101">
        <f>O22+0.05</f>
        <v>0.28337430492955912</v>
      </c>
      <c r="Q22" s="101">
        <f>P22+0.05</f>
        <v>0.33337430492955911</v>
      </c>
      <c r="R22" s="69"/>
      <c r="S22" s="71"/>
      <c r="T22" s="71"/>
      <c r="U22" s="71"/>
      <c r="V22" s="71"/>
      <c r="W22" s="71"/>
      <c r="X22" s="69"/>
      <c r="Y22" s="69"/>
      <c r="Z22" s="69"/>
      <c r="AA22" s="69"/>
      <c r="AB22" s="69"/>
      <c r="AC22" s="69"/>
      <c r="AD22" s="69"/>
    </row>
    <row r="23" spans="1:30" ht="18.5" x14ac:dyDescent="0.35">
      <c r="A23" s="65"/>
      <c r="L23" s="101">
        <f>L24-0.02</f>
        <v>5.6306768686728709E-2</v>
      </c>
      <c r="M23" s="127">
        <f t="dataTable" ref="M23:Q27" dt2D="1" dtr="1" r1="Q18" r2="Q19"/>
        <v>5589.3170201908242</v>
      </c>
      <c r="N23" s="127">
        <v>5835.8956216237457</v>
      </c>
      <c r="O23" s="127">
        <v>6082.4742230566681</v>
      </c>
      <c r="P23" s="127">
        <v>6329.0528244895904</v>
      </c>
      <c r="Q23" s="127">
        <v>6575.6314259225119</v>
      </c>
      <c r="R23" s="69"/>
      <c r="S23" s="71"/>
      <c r="T23" s="71"/>
      <c r="U23" s="71"/>
      <c r="V23" s="71"/>
      <c r="W23" s="71"/>
      <c r="X23" s="69"/>
      <c r="Y23" s="69"/>
      <c r="Z23" s="69"/>
      <c r="AA23" s="69"/>
      <c r="AB23" s="69"/>
      <c r="AC23" s="69"/>
      <c r="AD23" s="69"/>
    </row>
    <row r="24" spans="1:30" ht="19" thickBot="1" x14ac:dyDescent="0.4">
      <c r="A24" s="65"/>
      <c r="L24" s="101">
        <f>L25-0.02</f>
        <v>7.6306768686728713E-2</v>
      </c>
      <c r="M24" s="127">
        <v>7574.6261226498345</v>
      </c>
      <c r="N24" s="127">
        <v>7908.7887240827558</v>
      </c>
      <c r="O24" s="127">
        <v>8242.9513255156799</v>
      </c>
      <c r="P24" s="127">
        <v>8577.1139269486011</v>
      </c>
      <c r="Q24" s="127">
        <v>8911.2765283815224</v>
      </c>
      <c r="R24" s="69"/>
      <c r="S24" s="71"/>
      <c r="T24" s="71"/>
      <c r="U24" s="71"/>
      <c r="V24" s="71"/>
      <c r="W24" s="71"/>
      <c r="X24" s="69"/>
      <c r="Y24" s="69"/>
      <c r="Z24" s="69"/>
      <c r="AA24" s="69"/>
      <c r="AB24" s="69"/>
      <c r="AC24" s="69"/>
      <c r="AD24" s="69"/>
    </row>
    <row r="25" spans="1:30" ht="19" thickBot="1" x14ac:dyDescent="0.4">
      <c r="A25" s="65"/>
      <c r="L25" s="101">
        <f>'Projections '!$M$29</f>
        <v>9.6306768686728716E-2</v>
      </c>
      <c r="M25" s="127">
        <v>9559.9352251088458</v>
      </c>
      <c r="N25" s="127">
        <v>9981.681826541766</v>
      </c>
      <c r="O25" s="128">
        <v>10403.42842797469</v>
      </c>
      <c r="P25" s="127">
        <v>10825.175029407612</v>
      </c>
      <c r="Q25" s="127">
        <v>11246.921630840532</v>
      </c>
      <c r="R25" s="69"/>
      <c r="S25" s="71"/>
      <c r="T25" s="71"/>
      <c r="U25" s="71"/>
      <c r="V25" s="71"/>
      <c r="W25" s="71"/>
      <c r="X25" s="69"/>
      <c r="Y25" s="69"/>
      <c r="Z25" s="69"/>
      <c r="AA25" s="69"/>
      <c r="AB25" s="69"/>
      <c r="AC25" s="69"/>
      <c r="AD25" s="69"/>
    </row>
    <row r="26" spans="1:30" ht="18.5" x14ac:dyDescent="0.35">
      <c r="A26" s="65"/>
      <c r="L26" s="101">
        <f>L25+0.02</f>
        <v>0.11630676868672872</v>
      </c>
      <c r="M26" s="127">
        <v>11545.244327567856</v>
      </c>
      <c r="N26" s="127">
        <v>12054.574929000777</v>
      </c>
      <c r="O26" s="127">
        <v>12563.9055304337</v>
      </c>
      <c r="P26" s="127">
        <v>13073.236131866623</v>
      </c>
      <c r="Q26" s="127">
        <v>13582.566733299544</v>
      </c>
      <c r="R26" s="69"/>
      <c r="S26" s="71"/>
      <c r="T26" s="71"/>
      <c r="U26" s="71"/>
      <c r="V26" s="71"/>
      <c r="W26" s="71"/>
      <c r="X26" s="69"/>
      <c r="Y26" s="69"/>
      <c r="Z26" s="69"/>
      <c r="AA26" s="69"/>
      <c r="AB26" s="69"/>
      <c r="AC26" s="69"/>
      <c r="AD26" s="69"/>
    </row>
    <row r="27" spans="1:30" ht="18.5" x14ac:dyDescent="0.35">
      <c r="A27" s="65"/>
      <c r="L27" s="101">
        <f>L26+0.02</f>
        <v>0.13630676868672872</v>
      </c>
      <c r="M27" s="127">
        <v>13530.553430026866</v>
      </c>
      <c r="N27" s="127">
        <v>14127.468031459786</v>
      </c>
      <c r="O27" s="127">
        <v>14724.382632892712</v>
      </c>
      <c r="P27" s="127">
        <v>15321.297234325633</v>
      </c>
      <c r="Q27" s="127">
        <v>15918.211835758553</v>
      </c>
      <c r="R27" s="69"/>
      <c r="S27" s="71"/>
      <c r="T27" s="71"/>
      <c r="U27" s="71"/>
      <c r="V27" s="71"/>
      <c r="W27" s="71"/>
      <c r="X27" s="69"/>
      <c r="Y27" s="69"/>
      <c r="Z27" s="69"/>
      <c r="AA27" s="69"/>
      <c r="AB27" s="69"/>
      <c r="AC27" s="69"/>
      <c r="AD27" s="69"/>
    </row>
    <row r="28" spans="1:30" x14ac:dyDescent="0.35">
      <c r="A28" s="65"/>
      <c r="L28" s="70"/>
      <c r="M28" s="70"/>
      <c r="N28" s="70"/>
      <c r="O28" s="70"/>
      <c r="P28" s="70"/>
      <c r="Q28" s="70"/>
      <c r="R28" s="69"/>
      <c r="S28" s="71"/>
      <c r="T28" s="71"/>
      <c r="U28" s="71"/>
      <c r="V28" s="71"/>
      <c r="W28" s="71"/>
      <c r="X28" s="69"/>
      <c r="Y28" s="69"/>
      <c r="Z28" s="69"/>
      <c r="AA28" s="69"/>
      <c r="AB28" s="69"/>
      <c r="AC28" s="69"/>
      <c r="AD28" s="69"/>
    </row>
    <row r="29" spans="1:30" x14ac:dyDescent="0.35">
      <c r="A29" s="65"/>
      <c r="L29" s="76" t="s">
        <v>198</v>
      </c>
      <c r="M29" s="76" t="str">
        <f>"₹"&amp;TEXT(MIN(M23:Q27),"#,##0")&amp;"- ₹"&amp;TEXT(MAX(M23:Q27),"#,##0")</f>
        <v>₹5,589- ₹15,918</v>
      </c>
      <c r="N29" s="76"/>
      <c r="O29" s="76"/>
      <c r="P29" s="76"/>
      <c r="Q29" s="76"/>
      <c r="R29" s="69"/>
      <c r="S29" s="71"/>
      <c r="T29" s="71"/>
      <c r="U29" s="71"/>
      <c r="V29" s="71"/>
      <c r="W29" s="71"/>
      <c r="X29" s="69"/>
      <c r="Y29" s="69"/>
      <c r="Z29" s="69"/>
      <c r="AA29" s="69"/>
      <c r="AB29" s="69"/>
      <c r="AC29" s="69"/>
      <c r="AD29" s="69"/>
    </row>
    <row r="30" spans="1:30" x14ac:dyDescent="0.35">
      <c r="A30" s="65"/>
      <c r="L30" s="71" t="s">
        <v>173</v>
      </c>
      <c r="M30" s="74" t="str">
        <f>TEXT((M23-O25)/O25,"+0%;-0%")&amp; " / " &amp;TEXT((Q27-O25)/O25,"+0%;-0%")</f>
        <v>-46% / +53%</v>
      </c>
      <c r="N30" s="71"/>
      <c r="O30" s="71"/>
      <c r="P30" s="71"/>
      <c r="Q30" s="71"/>
      <c r="R30" s="69"/>
      <c r="S30" s="71"/>
      <c r="T30" s="71"/>
      <c r="U30" s="71"/>
      <c r="V30" s="71"/>
      <c r="W30" s="71"/>
      <c r="X30" s="69"/>
      <c r="Y30" s="69"/>
      <c r="Z30" s="69"/>
      <c r="AA30" s="69"/>
      <c r="AB30" s="69"/>
      <c r="AC30" s="69"/>
      <c r="AD30" s="69"/>
    </row>
    <row r="31" spans="1:30" x14ac:dyDescent="0.35">
      <c r="A31" s="65"/>
      <c r="L31" s="70"/>
      <c r="M31" s="71"/>
      <c r="N31" s="71"/>
      <c r="O31" s="71"/>
      <c r="P31" s="71"/>
      <c r="Q31" s="71"/>
      <c r="R31" s="69"/>
      <c r="S31" s="71"/>
      <c r="T31" s="71"/>
      <c r="U31" s="71"/>
      <c r="V31" s="71"/>
      <c r="W31" s="71"/>
      <c r="X31" s="69"/>
      <c r="Y31" s="69"/>
      <c r="Z31" s="69"/>
      <c r="AA31" s="69"/>
      <c r="AB31" s="69"/>
      <c r="AC31" s="69"/>
      <c r="AD31" s="69"/>
    </row>
    <row r="32" spans="1:30" x14ac:dyDescent="0.35">
      <c r="M32" s="69"/>
      <c r="N32" s="69"/>
      <c r="O32" s="69"/>
      <c r="P32" s="69"/>
      <c r="Q32" s="69"/>
      <c r="R32" s="69"/>
      <c r="S32" s="69"/>
      <c r="T32" s="69"/>
      <c r="U32" s="69"/>
      <c r="V32" s="69"/>
      <c r="W32" s="69"/>
      <c r="X32" s="69"/>
      <c r="Y32" s="69"/>
      <c r="Z32" s="69"/>
      <c r="AA32" s="69"/>
      <c r="AB32" s="69"/>
      <c r="AC32" s="69"/>
      <c r="AD32" s="69"/>
    </row>
    <row r="33" spans="2:30" x14ac:dyDescent="0.35">
      <c r="M33" s="69"/>
      <c r="N33" s="69"/>
      <c r="O33" s="69"/>
      <c r="P33" s="69"/>
      <c r="Q33" s="69"/>
      <c r="R33" s="69"/>
      <c r="S33" s="69"/>
      <c r="T33" s="69"/>
      <c r="U33" s="69"/>
      <c r="V33" s="69"/>
      <c r="W33" s="69"/>
      <c r="X33" s="69"/>
      <c r="Y33" s="69"/>
      <c r="Z33" s="69"/>
      <c r="AA33" s="69"/>
      <c r="AB33" s="69"/>
      <c r="AC33" s="69"/>
      <c r="AD33" s="69"/>
    </row>
    <row r="34" spans="2:30" ht="20" customHeight="1" x14ac:dyDescent="0.35">
      <c r="B34" s="113" t="s">
        <v>201</v>
      </c>
      <c r="C34" s="113"/>
      <c r="D34" s="113"/>
      <c r="E34" s="113"/>
      <c r="F34" s="113"/>
      <c r="G34" s="113"/>
      <c r="H34" s="113"/>
      <c r="I34" s="113"/>
      <c r="J34" s="113"/>
      <c r="K34" s="113"/>
      <c r="L34" s="113"/>
      <c r="M34" s="113"/>
      <c r="N34" s="113"/>
      <c r="O34" s="113"/>
      <c r="P34" s="113"/>
      <c r="Q34" s="113"/>
      <c r="R34" s="113"/>
      <c r="S34" s="113"/>
      <c r="T34" s="113"/>
      <c r="U34" s="113"/>
      <c r="V34" s="113"/>
      <c r="W34" s="113"/>
      <c r="X34" s="69"/>
      <c r="Y34" s="69"/>
      <c r="Z34" s="69"/>
      <c r="AA34" s="69"/>
      <c r="AB34" s="69"/>
      <c r="AC34" s="69"/>
      <c r="AD34" s="69"/>
    </row>
    <row r="35" spans="2:30" ht="20" customHeight="1" outlineLevel="1" x14ac:dyDescent="0.35">
      <c r="B35" s="118" t="s">
        <v>202</v>
      </c>
      <c r="C35" s="118"/>
      <c r="D35" s="118"/>
      <c r="E35" s="118"/>
      <c r="F35" s="118"/>
      <c r="G35" s="118"/>
      <c r="H35" s="118"/>
      <c r="I35" s="118"/>
      <c r="J35" s="118"/>
      <c r="K35" s="118"/>
      <c r="L35" s="118"/>
      <c r="M35" s="118"/>
      <c r="N35" s="118"/>
      <c r="O35" s="118"/>
      <c r="P35" s="118"/>
      <c r="Q35" s="118"/>
      <c r="R35" s="118"/>
      <c r="S35" s="118"/>
      <c r="T35" s="118"/>
      <c r="U35" s="118"/>
      <c r="V35" s="118"/>
      <c r="W35" s="118"/>
      <c r="X35" s="69"/>
      <c r="Y35" s="69"/>
      <c r="Z35" s="69"/>
      <c r="AA35" s="69"/>
      <c r="AB35" s="69"/>
      <c r="AC35" s="69"/>
      <c r="AD35" s="69"/>
    </row>
    <row r="36" spans="2:30" ht="20" customHeight="1" outlineLevel="1" x14ac:dyDescent="0.35">
      <c r="B36" s="118" t="s">
        <v>203</v>
      </c>
      <c r="C36" s="118"/>
      <c r="D36" s="118"/>
      <c r="E36" s="118"/>
      <c r="F36" s="118"/>
      <c r="G36" s="118"/>
      <c r="H36" s="118"/>
      <c r="I36" s="118"/>
      <c r="J36" s="118"/>
      <c r="K36" s="118"/>
      <c r="L36" s="118"/>
      <c r="M36" s="118"/>
      <c r="N36" s="118"/>
      <c r="O36" s="118"/>
      <c r="P36" s="118"/>
      <c r="Q36" s="118"/>
      <c r="R36" s="118"/>
      <c r="S36" s="118"/>
      <c r="T36" s="118"/>
      <c r="U36" s="118"/>
      <c r="V36" s="118"/>
      <c r="W36" s="118"/>
      <c r="X36" s="69"/>
      <c r="Y36" s="69"/>
      <c r="Z36" s="69"/>
      <c r="AA36" s="69"/>
      <c r="AB36" s="69"/>
      <c r="AC36" s="69"/>
      <c r="AD36" s="69"/>
    </row>
    <row r="37" spans="2:30" ht="20" customHeight="1" outlineLevel="1" x14ac:dyDescent="0.35">
      <c r="B37" s="118" t="s">
        <v>204</v>
      </c>
      <c r="C37" s="118"/>
      <c r="D37" s="118"/>
      <c r="E37" s="118"/>
      <c r="F37" s="118"/>
      <c r="G37" s="118"/>
      <c r="H37" s="118"/>
      <c r="I37" s="118"/>
      <c r="J37" s="118"/>
      <c r="K37" s="118"/>
      <c r="L37" s="118"/>
      <c r="M37" s="118"/>
      <c r="N37" s="118"/>
      <c r="O37" s="118"/>
      <c r="P37" s="118"/>
      <c r="Q37" s="118"/>
      <c r="R37" s="118"/>
      <c r="S37" s="118"/>
      <c r="T37" s="118"/>
      <c r="U37" s="118"/>
      <c r="V37" s="118"/>
      <c r="W37" s="118"/>
      <c r="X37" s="69"/>
      <c r="Y37" s="69"/>
      <c r="Z37" s="69"/>
      <c r="AA37" s="69"/>
      <c r="AB37" s="69"/>
      <c r="AC37" s="69"/>
      <c r="AD37" s="69"/>
    </row>
    <row r="38" spans="2:30" ht="20" customHeight="1" outlineLevel="1" x14ac:dyDescent="0.35">
      <c r="B38" s="118" t="s">
        <v>205</v>
      </c>
      <c r="C38" s="118"/>
      <c r="D38" s="118"/>
      <c r="E38" s="118"/>
      <c r="F38" s="118"/>
      <c r="G38" s="118"/>
      <c r="H38" s="118"/>
      <c r="I38" s="118"/>
      <c r="J38" s="118"/>
      <c r="K38" s="118"/>
      <c r="L38" s="118"/>
      <c r="M38" s="118"/>
      <c r="N38" s="118"/>
      <c r="O38" s="118"/>
      <c r="P38" s="118"/>
      <c r="Q38" s="118"/>
      <c r="R38" s="118"/>
      <c r="S38" s="118"/>
      <c r="T38" s="118"/>
      <c r="U38" s="118"/>
      <c r="V38" s="118"/>
      <c r="W38" s="118"/>
      <c r="X38" s="69"/>
      <c r="Y38" s="69"/>
      <c r="Z38" s="69"/>
      <c r="AA38" s="69"/>
      <c r="AB38" s="69"/>
      <c r="AC38" s="69"/>
      <c r="AD38" s="69"/>
    </row>
    <row r="39" spans="2:30" ht="20" customHeight="1" outlineLevel="1" x14ac:dyDescent="0.35">
      <c r="B39" s="118" t="s">
        <v>206</v>
      </c>
      <c r="C39" s="118"/>
      <c r="D39" s="118"/>
      <c r="E39" s="118"/>
      <c r="F39" s="118"/>
      <c r="G39" s="118"/>
      <c r="H39" s="118"/>
      <c r="I39" s="118"/>
      <c r="J39" s="118"/>
      <c r="K39" s="118"/>
      <c r="L39" s="118"/>
      <c r="M39" s="118"/>
      <c r="N39" s="118"/>
      <c r="O39" s="118"/>
      <c r="P39" s="118"/>
      <c r="Q39" s="118"/>
      <c r="R39" s="118"/>
      <c r="S39" s="118"/>
      <c r="T39" s="118"/>
      <c r="U39" s="118"/>
      <c r="V39" s="118"/>
      <c r="W39" s="118"/>
    </row>
    <row r="40" spans="2:30" ht="20" customHeight="1" outlineLevel="1" x14ac:dyDescent="0.35">
      <c r="B40" s="118" t="s">
        <v>207</v>
      </c>
      <c r="C40" s="118"/>
      <c r="D40" s="118"/>
      <c r="E40" s="118"/>
      <c r="F40" s="118"/>
      <c r="G40" s="118"/>
      <c r="H40" s="118"/>
      <c r="I40" s="118"/>
      <c r="J40" s="118"/>
      <c r="K40" s="118"/>
      <c r="L40" s="118"/>
      <c r="M40" s="118"/>
      <c r="N40" s="118"/>
      <c r="O40" s="118"/>
      <c r="P40" s="118"/>
      <c r="Q40" s="118"/>
      <c r="R40" s="118"/>
      <c r="S40" s="118"/>
      <c r="T40" s="118"/>
      <c r="U40" s="118"/>
      <c r="V40" s="118"/>
      <c r="W40" s="118"/>
    </row>
    <row r="41" spans="2:30" x14ac:dyDescent="0.35">
      <c r="C41" s="67"/>
      <c r="D41" s="68"/>
      <c r="E41" s="68"/>
      <c r="F41" s="68"/>
      <c r="G41" s="68"/>
      <c r="H41" s="68"/>
      <c r="I41" s="68"/>
      <c r="J41" s="68"/>
      <c r="K41" s="68"/>
      <c r="L41" s="68"/>
      <c r="M41" s="68"/>
      <c r="N41" s="68"/>
      <c r="O41" s="68"/>
      <c r="P41" s="68"/>
      <c r="Q41" s="68"/>
      <c r="R41" s="68"/>
      <c r="S41" s="68"/>
    </row>
    <row r="42" spans="2:30" x14ac:dyDescent="0.35">
      <c r="L42" s="68"/>
      <c r="M42" s="68"/>
      <c r="N42" s="68"/>
      <c r="O42" s="68"/>
      <c r="P42" s="68"/>
      <c r="Q42" s="68"/>
    </row>
    <row r="43" spans="2:30" ht="20" customHeight="1" x14ac:dyDescent="0.35">
      <c r="B43" s="119" t="s">
        <v>208</v>
      </c>
      <c r="C43" s="119"/>
      <c r="D43" s="119"/>
      <c r="E43" s="119"/>
      <c r="F43" s="119"/>
      <c r="G43" s="119"/>
      <c r="H43" s="119"/>
      <c r="I43" s="119"/>
      <c r="J43" s="119"/>
      <c r="K43" s="119"/>
      <c r="L43" s="119"/>
      <c r="M43" s="119"/>
      <c r="N43" s="119"/>
      <c r="O43" s="119"/>
      <c r="P43" s="119"/>
      <c r="Q43" s="119"/>
      <c r="R43" s="119"/>
      <c r="S43" s="119"/>
      <c r="T43" s="119"/>
      <c r="U43" s="119"/>
      <c r="V43" s="119"/>
      <c r="W43" s="119"/>
    </row>
    <row r="44" spans="2:30" ht="20" customHeight="1" outlineLevel="1" x14ac:dyDescent="0.35">
      <c r="B44" s="120" t="s">
        <v>210</v>
      </c>
      <c r="C44" s="120"/>
      <c r="D44" s="120"/>
      <c r="E44" s="120"/>
      <c r="F44" s="120"/>
      <c r="G44" s="120"/>
      <c r="H44" s="120"/>
      <c r="I44" s="120"/>
      <c r="J44" s="120"/>
      <c r="K44" s="120"/>
      <c r="L44" s="120"/>
      <c r="M44" s="120"/>
      <c r="N44" s="120"/>
      <c r="O44" s="120"/>
      <c r="P44" s="120"/>
      <c r="Q44" s="120"/>
      <c r="R44" s="120"/>
      <c r="S44" s="120"/>
      <c r="T44" s="120"/>
      <c r="U44" s="120"/>
      <c r="V44" s="120"/>
      <c r="W44" s="120"/>
    </row>
    <row r="45" spans="2:30" ht="20" customHeight="1" outlineLevel="1" x14ac:dyDescent="0.35">
      <c r="B45" s="120" t="s">
        <v>211</v>
      </c>
      <c r="C45" s="120"/>
      <c r="D45" s="120"/>
      <c r="E45" s="120"/>
      <c r="F45" s="120"/>
      <c r="G45" s="120"/>
      <c r="H45" s="120"/>
      <c r="I45" s="120"/>
      <c r="J45" s="120"/>
      <c r="K45" s="120"/>
      <c r="L45" s="120"/>
      <c r="M45" s="120"/>
      <c r="N45" s="120"/>
      <c r="O45" s="120"/>
      <c r="P45" s="120"/>
      <c r="Q45" s="120"/>
      <c r="R45" s="120"/>
      <c r="S45" s="120"/>
      <c r="T45" s="120"/>
      <c r="U45" s="120"/>
      <c r="V45" s="120"/>
      <c r="W45" s="120"/>
    </row>
    <row r="46" spans="2:30" ht="20" customHeight="1" outlineLevel="1" x14ac:dyDescent="0.35">
      <c r="B46" s="120" t="s">
        <v>212</v>
      </c>
      <c r="C46" s="120"/>
      <c r="D46" s="120"/>
      <c r="E46" s="120"/>
      <c r="F46" s="120"/>
      <c r="G46" s="120"/>
      <c r="H46" s="120"/>
      <c r="I46" s="120"/>
      <c r="J46" s="120"/>
      <c r="K46" s="120"/>
      <c r="L46" s="120"/>
      <c r="M46" s="120"/>
      <c r="N46" s="120"/>
      <c r="O46" s="120"/>
      <c r="P46" s="120"/>
      <c r="Q46" s="120"/>
      <c r="R46" s="120"/>
      <c r="S46" s="120"/>
      <c r="T46" s="120"/>
      <c r="U46" s="120"/>
      <c r="V46" s="120"/>
      <c r="W46" s="120"/>
    </row>
    <row r="47" spans="2:30" ht="20" customHeight="1" outlineLevel="1" x14ac:dyDescent="0.35">
      <c r="B47" s="120" t="s">
        <v>209</v>
      </c>
      <c r="C47" s="120"/>
      <c r="D47" s="120"/>
      <c r="E47" s="120"/>
      <c r="F47" s="120"/>
      <c r="G47" s="120"/>
      <c r="H47" s="120"/>
      <c r="I47" s="120"/>
      <c r="J47" s="120"/>
      <c r="K47" s="120"/>
      <c r="L47" s="120"/>
      <c r="M47" s="120"/>
      <c r="N47" s="120"/>
      <c r="O47" s="120"/>
      <c r="P47" s="120"/>
      <c r="Q47" s="120"/>
      <c r="R47" s="120"/>
      <c r="S47" s="120"/>
      <c r="T47" s="120"/>
      <c r="U47" s="120"/>
      <c r="V47" s="120"/>
      <c r="W47" s="120"/>
    </row>
    <row r="48" spans="2:30" ht="20" customHeight="1" outlineLevel="1" x14ac:dyDescent="0.35"/>
    <row r="49" spans="11:11" ht="20" customHeight="1" x14ac:dyDescent="0.35"/>
    <row r="52" spans="11:11" x14ac:dyDescent="0.35">
      <c r="K52" s="98"/>
    </row>
  </sheetData>
  <mergeCells count="19">
    <mergeCell ref="B43:W43"/>
    <mergeCell ref="B44:W44"/>
    <mergeCell ref="B45:W45"/>
    <mergeCell ref="B46:W46"/>
    <mergeCell ref="B47:W47"/>
    <mergeCell ref="B39:W39"/>
    <mergeCell ref="B40:W40"/>
    <mergeCell ref="B34:W34"/>
    <mergeCell ref="B35:W35"/>
    <mergeCell ref="B36:W36"/>
    <mergeCell ref="B37:W37"/>
    <mergeCell ref="B38:W38"/>
    <mergeCell ref="S1:W1"/>
    <mergeCell ref="S2:T2"/>
    <mergeCell ref="S13:W13"/>
    <mergeCell ref="L18:M18"/>
    <mergeCell ref="L19:M19"/>
    <mergeCell ref="O18:P18"/>
    <mergeCell ref="O19:P19"/>
  </mergeCells>
  <conditionalFormatting sqref="M23:Q27">
    <cfRule type="colorScale" priority="7">
      <colorScale>
        <cfvo type="min"/>
        <cfvo type="percentile" val="50"/>
        <cfvo type="max"/>
        <color rgb="FFF4B6B6"/>
        <color rgb="FFFFFFFF"/>
        <color rgb="FFA9D8B8"/>
      </colorScale>
    </cfRule>
  </conditionalFormatting>
  <conditionalFormatting sqref="W3:W10">
    <cfRule type="containsText" dxfId="6" priority="1" operator="containsText" text="▼">
      <formula>NOT(ISERROR(SEARCH("▼",W3)))</formula>
    </cfRule>
    <cfRule type="containsText" dxfId="5" priority="2" operator="containsText" text="▼">
      <formula>NOT(ISERROR(SEARCH("▼",W3)))</formula>
    </cfRule>
    <cfRule type="containsText" dxfId="4" priority="3" operator="containsText" text="▼">
      <formula>NOT(ISERROR(SEARCH("▼",W3)))</formula>
    </cfRule>
    <cfRule type="containsText" dxfId="3" priority="4" operator="containsText" text="▼">
      <formula>NOT(ISERROR(SEARCH("▼",W3)))</formula>
    </cfRule>
    <cfRule type="containsText" dxfId="2" priority="5" operator="containsText" text="▼">
      <formula>NOT(ISERROR(SEARCH("▼",W3)))</formula>
    </cfRule>
    <cfRule type="containsText" dxfId="1" priority="6" operator="containsText" text="▼">
      <formula>NOT(ISERROR(SEARCH("▼",W3)))</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6F7C8-43EF-40B5-B659-B3A80AFD61A0}">
  <dimension ref="A1:K129"/>
  <sheetViews>
    <sheetView zoomScale="75" zoomScaleNormal="120" zoomScalePageLayoutView="120" workbookViewId="0">
      <pane xSplit="1" ySplit="1" topLeftCell="B8" activePane="bottomRight" state="frozen"/>
      <selection activeCell="C4" sqref="C4"/>
      <selection pane="topRight" activeCell="C4" sqref="C4"/>
      <selection pane="bottomLeft" activeCell="C4" sqref="C4"/>
      <selection pane="bottomRight" activeCell="B18" sqref="B18"/>
    </sheetView>
  </sheetViews>
  <sheetFormatPr defaultColWidth="8.81640625" defaultRowHeight="14.5" x14ac:dyDescent="0.35"/>
  <cols>
    <col min="1" max="1" width="30.81640625" style="5" customWidth="1"/>
    <col min="2" max="11" width="13.453125" style="5" bestFit="1" customWidth="1"/>
    <col min="12" max="16384" width="8.81640625" style="5"/>
  </cols>
  <sheetData>
    <row r="1" spans="1:11" s="2" customFormat="1" x14ac:dyDescent="0.35">
      <c r="A1" s="2" t="s">
        <v>62</v>
      </c>
      <c r="B1" s="2" t="s">
        <v>63</v>
      </c>
      <c r="E1" s="121" t="str">
        <f>IF(B2&lt;&gt;B3, "A NEW VERSION OF THE WORKSHEET IS AVAILABLE", "")</f>
        <v/>
      </c>
      <c r="F1" s="121"/>
      <c r="G1" s="121"/>
      <c r="H1" s="121"/>
      <c r="I1" s="121"/>
      <c r="J1" s="121"/>
      <c r="K1" s="121"/>
    </row>
    <row r="2" spans="1:11" x14ac:dyDescent="0.35">
      <c r="A2" s="2" t="s">
        <v>61</v>
      </c>
      <c r="B2" s="5">
        <v>2.1</v>
      </c>
      <c r="E2" s="122" t="s">
        <v>60</v>
      </c>
      <c r="F2" s="122"/>
      <c r="G2" s="122"/>
      <c r="H2" s="122"/>
      <c r="I2" s="122"/>
      <c r="J2" s="122"/>
      <c r="K2" s="122"/>
    </row>
    <row r="3" spans="1:11" x14ac:dyDescent="0.35">
      <c r="A3" s="2" t="s">
        <v>59</v>
      </c>
      <c r="B3" s="5">
        <v>2.1</v>
      </c>
    </row>
    <row r="4" spans="1:11" x14ac:dyDescent="0.35">
      <c r="A4" s="2"/>
    </row>
    <row r="5" spans="1:11" x14ac:dyDescent="0.35">
      <c r="A5" s="2" t="s">
        <v>58</v>
      </c>
    </row>
    <row r="6" spans="1:11" x14ac:dyDescent="0.35">
      <c r="A6" s="5" t="s">
        <v>57</v>
      </c>
      <c r="B6" s="5">
        <f>IF(B9&gt;0, B9/B8, 0)</f>
        <v>88.778612439234209</v>
      </c>
    </row>
    <row r="7" spans="1:11" x14ac:dyDescent="0.35">
      <c r="A7" s="5" t="s">
        <v>56</v>
      </c>
      <c r="B7" s="1">
        <v>1</v>
      </c>
    </row>
    <row r="8" spans="1:11" x14ac:dyDescent="0.35">
      <c r="A8" s="5" t="s">
        <v>55</v>
      </c>
      <c r="B8" s="1">
        <v>4998.7</v>
      </c>
    </row>
    <row r="9" spans="1:11" x14ac:dyDescent="0.35">
      <c r="A9" s="5" t="s">
        <v>54</v>
      </c>
      <c r="B9" s="1">
        <v>443777.65</v>
      </c>
    </row>
    <row r="15" spans="1:11" x14ac:dyDescent="0.35">
      <c r="A15" s="2" t="s">
        <v>53</v>
      </c>
    </row>
    <row r="16" spans="1:11" s="17" customFormat="1" x14ac:dyDescent="0.35">
      <c r="A16" s="18" t="s">
        <v>36</v>
      </c>
      <c r="B16" s="4">
        <v>42825</v>
      </c>
      <c r="C16" s="4">
        <v>43190</v>
      </c>
      <c r="D16" s="4">
        <v>43555</v>
      </c>
      <c r="E16" s="4">
        <v>43921</v>
      </c>
      <c r="F16" s="4">
        <v>44286</v>
      </c>
      <c r="G16" s="4">
        <v>44651</v>
      </c>
      <c r="H16" s="4">
        <v>45016</v>
      </c>
      <c r="I16" s="4">
        <v>45382</v>
      </c>
      <c r="J16" s="4">
        <v>45747</v>
      </c>
      <c r="K16" s="4">
        <v>46112</v>
      </c>
    </row>
    <row r="17" spans="1:11" s="3" customFormat="1" x14ac:dyDescent="0.35">
      <c r="A17" s="3" t="s">
        <v>0</v>
      </c>
      <c r="B17" s="1">
        <v>13260.83</v>
      </c>
      <c r="C17" s="1">
        <v>16119.77</v>
      </c>
      <c r="D17" s="1">
        <v>19778.52</v>
      </c>
      <c r="E17" s="1">
        <v>21052</v>
      </c>
      <c r="F17" s="1">
        <v>21644</v>
      </c>
      <c r="G17" s="1">
        <v>28799</v>
      </c>
      <c r="H17" s="1">
        <v>40575</v>
      </c>
      <c r="I17" s="1">
        <v>51084</v>
      </c>
      <c r="J17" s="1">
        <v>60456</v>
      </c>
      <c r="K17" s="1">
        <v>87584</v>
      </c>
    </row>
    <row r="18" spans="1:11" s="3" customFormat="1" x14ac:dyDescent="0.35">
      <c r="A18" s="5" t="s">
        <v>52</v>
      </c>
      <c r="B18" s="1">
        <v>9821.14</v>
      </c>
      <c r="C18" s="1">
        <v>12664.83</v>
      </c>
      <c r="D18" s="1">
        <v>15170.66</v>
      </c>
      <c r="E18" s="1">
        <v>16033</v>
      </c>
      <c r="F18" s="1">
        <v>16292</v>
      </c>
      <c r="G18" s="1">
        <v>26436</v>
      </c>
      <c r="H18" s="1">
        <v>32589</v>
      </c>
      <c r="I18" s="1">
        <v>42103</v>
      </c>
      <c r="J18" s="1">
        <v>55271</v>
      </c>
      <c r="K18" s="1">
        <v>80243</v>
      </c>
    </row>
    <row r="19" spans="1:11" s="3" customFormat="1" x14ac:dyDescent="0.35">
      <c r="A19" s="5" t="s">
        <v>51</v>
      </c>
      <c r="B19" s="1">
        <v>313.70999999999998</v>
      </c>
      <c r="C19" s="1">
        <v>978.61</v>
      </c>
      <c r="D19" s="1">
        <v>776.41</v>
      </c>
      <c r="E19" s="1">
        <v>878</v>
      </c>
      <c r="F19" s="1">
        <v>-122</v>
      </c>
      <c r="G19" s="1">
        <v>4795</v>
      </c>
      <c r="H19" s="1">
        <v>2234</v>
      </c>
      <c r="I19" s="1">
        <v>2671</v>
      </c>
      <c r="J19" s="1">
        <v>7815</v>
      </c>
      <c r="K19" s="1">
        <v>9936</v>
      </c>
    </row>
    <row r="20" spans="1:11" s="3" customFormat="1" x14ac:dyDescent="0.35">
      <c r="A20" s="5" t="s">
        <v>50</v>
      </c>
      <c r="B20" s="1">
        <v>43.84</v>
      </c>
      <c r="C20" s="1">
        <v>45.32</v>
      </c>
      <c r="D20" s="1">
        <v>48.51</v>
      </c>
      <c r="E20" s="1">
        <v>52</v>
      </c>
      <c r="F20" s="1">
        <v>37</v>
      </c>
      <c r="G20" s="1">
        <v>45</v>
      </c>
      <c r="H20" s="1">
        <v>59</v>
      </c>
      <c r="I20" s="1">
        <v>71</v>
      </c>
      <c r="J20" s="1">
        <v>78</v>
      </c>
      <c r="K20" s="1">
        <v>87</v>
      </c>
    </row>
    <row r="21" spans="1:11" s="3" customFormat="1" x14ac:dyDescent="0.35">
      <c r="A21" s="5" t="s">
        <v>49</v>
      </c>
      <c r="B21" s="1">
        <v>160.41999999999999</v>
      </c>
      <c r="C21" s="1">
        <v>124.83</v>
      </c>
      <c r="D21" s="1">
        <v>193.28</v>
      </c>
      <c r="E21" s="1">
        <v>215</v>
      </c>
      <c r="F21" s="1">
        <v>141</v>
      </c>
      <c r="G21" s="1">
        <v>183</v>
      </c>
      <c r="H21" s="1">
        <v>225</v>
      </c>
      <c r="I21" s="1">
        <v>286</v>
      </c>
      <c r="J21" s="1">
        <v>326</v>
      </c>
      <c r="K21" s="1">
        <v>375</v>
      </c>
    </row>
    <row r="22" spans="1:11" s="3" customFormat="1" x14ac:dyDescent="0.35">
      <c r="A22" s="5" t="s">
        <v>48</v>
      </c>
      <c r="B22" s="1">
        <v>894.32</v>
      </c>
      <c r="C22" s="1">
        <v>906.26</v>
      </c>
      <c r="D22" s="1">
        <v>1024.44</v>
      </c>
      <c r="E22" s="1">
        <v>1204</v>
      </c>
      <c r="F22" s="1">
        <v>1069</v>
      </c>
      <c r="G22" s="1">
        <v>1356</v>
      </c>
      <c r="H22" s="1">
        <v>1656</v>
      </c>
      <c r="I22" s="1">
        <v>1875</v>
      </c>
      <c r="J22" s="1">
        <v>2164</v>
      </c>
      <c r="K22" s="1">
        <v>2692</v>
      </c>
    </row>
    <row r="23" spans="1:11" s="3" customFormat="1" x14ac:dyDescent="0.35">
      <c r="A23" s="5" t="s">
        <v>47</v>
      </c>
      <c r="B23" s="1">
        <v>1211.1600000000001</v>
      </c>
      <c r="C23" s="1">
        <v>1277.81</v>
      </c>
      <c r="D23" s="1">
        <v>1454.32</v>
      </c>
      <c r="E23" s="1">
        <v>1470</v>
      </c>
      <c r="F23" s="1">
        <v>1029</v>
      </c>
      <c r="G23" s="1">
        <v>1697</v>
      </c>
      <c r="H23" s="1">
        <v>2715</v>
      </c>
      <c r="I23" s="1">
        <v>3249</v>
      </c>
      <c r="J23" s="1">
        <v>3494</v>
      </c>
      <c r="K23" s="1">
        <v>4185</v>
      </c>
    </row>
    <row r="24" spans="1:11" s="3" customFormat="1" x14ac:dyDescent="0.35">
      <c r="A24" s="5" t="s">
        <v>46</v>
      </c>
      <c r="B24" s="1">
        <v>279.76</v>
      </c>
      <c r="C24" s="1">
        <v>435.13</v>
      </c>
      <c r="D24" s="1">
        <v>669.93</v>
      </c>
      <c r="E24" s="1">
        <v>493</v>
      </c>
      <c r="F24" s="1">
        <v>1229</v>
      </c>
      <c r="G24" s="1">
        <v>533</v>
      </c>
      <c r="H24" s="1">
        <v>683</v>
      </c>
      <c r="I24" s="1">
        <v>879</v>
      </c>
      <c r="J24" s="1">
        <v>1244</v>
      </c>
      <c r="K24" s="1">
        <v>1581</v>
      </c>
    </row>
    <row r="25" spans="1:11" s="3" customFormat="1" x14ac:dyDescent="0.35">
      <c r="A25" s="3" t="s">
        <v>3</v>
      </c>
      <c r="B25" s="1">
        <v>-42.38</v>
      </c>
      <c r="C25" s="1">
        <v>69.930000000000007</v>
      </c>
      <c r="D25" s="1">
        <v>178.48</v>
      </c>
      <c r="E25" s="1">
        <v>153</v>
      </c>
      <c r="F25" s="1">
        <v>180</v>
      </c>
      <c r="G25" s="1">
        <v>177</v>
      </c>
      <c r="H25" s="1">
        <v>306</v>
      </c>
      <c r="I25" s="1">
        <v>534</v>
      </c>
      <c r="J25" s="1">
        <v>487</v>
      </c>
      <c r="K25" s="1">
        <v>450</v>
      </c>
    </row>
    <row r="26" spans="1:11" s="3" customFormat="1" x14ac:dyDescent="0.35">
      <c r="A26" s="3" t="s">
        <v>4</v>
      </c>
      <c r="B26" s="1">
        <v>110.53</v>
      </c>
      <c r="C26" s="1">
        <v>131.43</v>
      </c>
      <c r="D26" s="1">
        <v>162.84</v>
      </c>
      <c r="E26" s="1">
        <v>348</v>
      </c>
      <c r="F26" s="1">
        <v>375</v>
      </c>
      <c r="G26" s="1">
        <v>399</v>
      </c>
      <c r="H26" s="1">
        <v>441</v>
      </c>
      <c r="I26" s="1">
        <v>584</v>
      </c>
      <c r="J26" s="1">
        <v>693</v>
      </c>
      <c r="K26" s="1">
        <v>826</v>
      </c>
    </row>
    <row r="27" spans="1:11" s="3" customFormat="1" x14ac:dyDescent="0.35">
      <c r="A27" s="3" t="s">
        <v>5</v>
      </c>
      <c r="B27" s="1">
        <v>37.74</v>
      </c>
      <c r="C27" s="1">
        <v>52.92</v>
      </c>
      <c r="D27" s="1">
        <v>52.54</v>
      </c>
      <c r="E27" s="1">
        <v>166</v>
      </c>
      <c r="F27" s="1">
        <v>203</v>
      </c>
      <c r="G27" s="1">
        <v>218</v>
      </c>
      <c r="H27" s="1">
        <v>300</v>
      </c>
      <c r="I27" s="1">
        <v>619</v>
      </c>
      <c r="J27" s="1">
        <v>953</v>
      </c>
      <c r="K27" s="1">
        <v>1180</v>
      </c>
    </row>
    <row r="28" spans="1:11" s="3" customFormat="1" x14ac:dyDescent="0.35">
      <c r="A28" s="3" t="s">
        <v>6</v>
      </c>
      <c r="B28" s="1">
        <v>973.25</v>
      </c>
      <c r="C28" s="1">
        <v>1529.78</v>
      </c>
      <c r="D28" s="1">
        <v>1956.89</v>
      </c>
      <c r="E28" s="1">
        <v>2102</v>
      </c>
      <c r="F28" s="1">
        <v>1327</v>
      </c>
      <c r="G28" s="1">
        <v>2904</v>
      </c>
      <c r="H28" s="1">
        <v>4447</v>
      </c>
      <c r="I28" s="1">
        <v>4623</v>
      </c>
      <c r="J28" s="1">
        <v>4535</v>
      </c>
      <c r="K28" s="1">
        <v>6801</v>
      </c>
    </row>
    <row r="29" spans="1:11" s="3" customFormat="1" x14ac:dyDescent="0.35">
      <c r="A29" s="3" t="s">
        <v>7</v>
      </c>
      <c r="B29" s="1">
        <v>275.97000000000003</v>
      </c>
      <c r="C29" s="1">
        <v>427.87</v>
      </c>
      <c r="D29" s="1">
        <v>568.24</v>
      </c>
      <c r="E29" s="1">
        <v>609</v>
      </c>
      <c r="F29" s="1">
        <v>353</v>
      </c>
      <c r="G29" s="1">
        <v>706</v>
      </c>
      <c r="H29" s="1">
        <v>1173</v>
      </c>
      <c r="I29" s="1">
        <v>1127</v>
      </c>
      <c r="J29" s="1">
        <v>1198</v>
      </c>
      <c r="K29" s="1">
        <v>1728</v>
      </c>
    </row>
    <row r="30" spans="1:11" s="3" customFormat="1" x14ac:dyDescent="0.35">
      <c r="A30" s="3" t="s">
        <v>8</v>
      </c>
      <c r="B30" s="1">
        <v>711.47</v>
      </c>
      <c r="C30" s="1">
        <v>1130.0899999999999</v>
      </c>
      <c r="D30" s="1">
        <v>1404.15</v>
      </c>
      <c r="E30" s="1">
        <v>1501</v>
      </c>
      <c r="F30" s="1">
        <v>973</v>
      </c>
      <c r="G30" s="1">
        <v>2173</v>
      </c>
      <c r="H30" s="1">
        <v>3250</v>
      </c>
      <c r="I30" s="1">
        <v>3496</v>
      </c>
      <c r="J30" s="1">
        <v>3337</v>
      </c>
      <c r="K30" s="1">
        <v>5073</v>
      </c>
    </row>
    <row r="31" spans="1:11" s="3" customFormat="1" x14ac:dyDescent="0.35">
      <c r="A31" s="3" t="s">
        <v>45</v>
      </c>
      <c r="B31" s="1">
        <v>230.83</v>
      </c>
      <c r="C31" s="1">
        <v>332.92</v>
      </c>
      <c r="D31" s="1">
        <v>443.9</v>
      </c>
      <c r="E31" s="1">
        <v>356</v>
      </c>
      <c r="F31" s="1">
        <v>356</v>
      </c>
      <c r="G31" s="1">
        <v>667.5</v>
      </c>
      <c r="H31" s="1">
        <v>890</v>
      </c>
      <c r="I31" s="1">
        <v>979</v>
      </c>
      <c r="J31" s="1">
        <v>979</v>
      </c>
      <c r="K31" s="1">
        <v>1335</v>
      </c>
    </row>
    <row r="32" spans="1:11" s="3" customFormat="1" x14ac:dyDescent="0.35"/>
    <row r="33" spans="1:11" x14ac:dyDescent="0.35">
      <c r="A33" s="3"/>
    </row>
    <row r="34" spans="1:11" x14ac:dyDescent="0.35">
      <c r="A34" s="3"/>
    </row>
    <row r="35" spans="1:11" x14ac:dyDescent="0.35">
      <c r="A35" s="3"/>
    </row>
    <row r="36" spans="1:11" x14ac:dyDescent="0.35">
      <c r="A36" s="3"/>
    </row>
    <row r="37" spans="1:11" x14ac:dyDescent="0.35">
      <c r="A37" s="3"/>
    </row>
    <row r="38" spans="1:11" x14ac:dyDescent="0.35">
      <c r="A38" s="3"/>
    </row>
    <row r="39" spans="1:11" x14ac:dyDescent="0.35">
      <c r="A39" s="3"/>
    </row>
    <row r="40" spans="1:11" x14ac:dyDescent="0.35">
      <c r="A40" s="2" t="s">
        <v>44</v>
      </c>
    </row>
    <row r="41" spans="1:11" s="17" customFormat="1" x14ac:dyDescent="0.35">
      <c r="A41" s="18" t="s">
        <v>36</v>
      </c>
      <c r="B41" s="4">
        <v>45382</v>
      </c>
      <c r="C41" s="4">
        <v>45473</v>
      </c>
      <c r="D41" s="4">
        <v>45565</v>
      </c>
      <c r="E41" s="4">
        <v>45657</v>
      </c>
      <c r="F41" s="4">
        <v>45747</v>
      </c>
      <c r="G41" s="4">
        <v>45838</v>
      </c>
      <c r="H41" s="4">
        <v>45930</v>
      </c>
      <c r="I41" s="4">
        <v>46022</v>
      </c>
      <c r="J41" s="4">
        <v>46112</v>
      </c>
      <c r="K41" s="4">
        <v>46203</v>
      </c>
    </row>
    <row r="42" spans="1:11" s="3" customFormat="1" x14ac:dyDescent="0.35">
      <c r="A42" s="3" t="s">
        <v>0</v>
      </c>
      <c r="B42" s="1">
        <v>12494</v>
      </c>
      <c r="C42" s="1">
        <v>13266</v>
      </c>
      <c r="D42" s="1">
        <v>14534</v>
      </c>
      <c r="E42" s="1">
        <v>17740</v>
      </c>
      <c r="F42" s="1">
        <v>14916</v>
      </c>
      <c r="G42" s="1">
        <v>16523</v>
      </c>
      <c r="H42" s="1">
        <v>18725</v>
      </c>
      <c r="I42" s="1">
        <v>25416</v>
      </c>
      <c r="J42" s="1">
        <v>26920</v>
      </c>
      <c r="K42" s="1">
        <v>21356</v>
      </c>
    </row>
    <row r="43" spans="1:11" s="3" customFormat="1" x14ac:dyDescent="0.35">
      <c r="A43" s="3" t="s">
        <v>1</v>
      </c>
      <c r="B43" s="1">
        <v>11303</v>
      </c>
      <c r="C43" s="1">
        <v>12019</v>
      </c>
      <c r="D43" s="1">
        <v>13298</v>
      </c>
      <c r="E43" s="1">
        <v>16066</v>
      </c>
      <c r="F43" s="1">
        <v>13379</v>
      </c>
      <c r="G43" s="1">
        <v>14693</v>
      </c>
      <c r="H43" s="1">
        <v>16850</v>
      </c>
      <c r="I43" s="1">
        <v>22703</v>
      </c>
      <c r="J43" s="1">
        <v>24982</v>
      </c>
      <c r="K43" s="1">
        <v>18466</v>
      </c>
    </row>
    <row r="44" spans="1:11" s="3" customFormat="1" x14ac:dyDescent="0.35">
      <c r="A44" s="3" t="s">
        <v>3</v>
      </c>
      <c r="B44" s="1">
        <v>159</v>
      </c>
      <c r="C44" s="1">
        <v>120</v>
      </c>
      <c r="D44" s="1">
        <v>123</v>
      </c>
      <c r="E44" s="1">
        <v>128</v>
      </c>
      <c r="F44" s="1">
        <v>116</v>
      </c>
      <c r="G44" s="1">
        <v>105</v>
      </c>
      <c r="H44" s="1">
        <v>113</v>
      </c>
      <c r="I44" s="1">
        <v>-1</v>
      </c>
      <c r="J44" s="1">
        <v>235</v>
      </c>
      <c r="K44" s="1">
        <v>148</v>
      </c>
    </row>
    <row r="45" spans="1:11" s="3" customFormat="1" x14ac:dyDescent="0.35">
      <c r="A45" s="3" t="s">
        <v>4</v>
      </c>
      <c r="B45" s="1">
        <v>158</v>
      </c>
      <c r="C45" s="1">
        <v>164</v>
      </c>
      <c r="D45" s="1">
        <v>171</v>
      </c>
      <c r="E45" s="1">
        <v>175</v>
      </c>
      <c r="F45" s="1">
        <v>183</v>
      </c>
      <c r="G45" s="1">
        <v>184</v>
      </c>
      <c r="H45" s="1">
        <v>189</v>
      </c>
      <c r="I45" s="1">
        <v>207</v>
      </c>
      <c r="J45" s="1">
        <v>246</v>
      </c>
      <c r="K45" s="1">
        <v>256</v>
      </c>
    </row>
    <row r="46" spans="1:11" s="3" customFormat="1" x14ac:dyDescent="0.35">
      <c r="A46" s="3" t="s">
        <v>5</v>
      </c>
      <c r="B46" s="1">
        <v>201</v>
      </c>
      <c r="C46" s="1">
        <v>230</v>
      </c>
      <c r="D46" s="1">
        <v>240</v>
      </c>
      <c r="E46" s="1">
        <v>231</v>
      </c>
      <c r="F46" s="1">
        <v>252</v>
      </c>
      <c r="G46" s="1">
        <v>271</v>
      </c>
      <c r="H46" s="1">
        <v>277</v>
      </c>
      <c r="I46" s="1">
        <v>282</v>
      </c>
      <c r="J46" s="1">
        <v>350</v>
      </c>
      <c r="K46" s="1">
        <v>353</v>
      </c>
    </row>
    <row r="47" spans="1:11" s="3" customFormat="1" x14ac:dyDescent="0.35">
      <c r="A47" s="3" t="s">
        <v>6</v>
      </c>
      <c r="B47" s="1">
        <v>991</v>
      </c>
      <c r="C47" s="1">
        <v>973</v>
      </c>
      <c r="D47" s="1">
        <v>948</v>
      </c>
      <c r="E47" s="1">
        <v>1396</v>
      </c>
      <c r="F47" s="1">
        <v>1218</v>
      </c>
      <c r="G47" s="1">
        <v>1480</v>
      </c>
      <c r="H47" s="1">
        <v>1522</v>
      </c>
      <c r="I47" s="1">
        <v>2223</v>
      </c>
      <c r="J47" s="1">
        <v>1577</v>
      </c>
      <c r="K47" s="1">
        <v>2429</v>
      </c>
    </row>
    <row r="48" spans="1:11" s="3" customFormat="1" x14ac:dyDescent="0.35">
      <c r="A48" s="3" t="s">
        <v>7</v>
      </c>
      <c r="B48" s="1">
        <v>220</v>
      </c>
      <c r="C48" s="1">
        <v>258</v>
      </c>
      <c r="D48" s="1">
        <v>244</v>
      </c>
      <c r="E48" s="1">
        <v>349</v>
      </c>
      <c r="F48" s="1">
        <v>347</v>
      </c>
      <c r="G48" s="1">
        <v>389</v>
      </c>
      <c r="H48" s="1">
        <v>402</v>
      </c>
      <c r="I48" s="1">
        <v>539</v>
      </c>
      <c r="J48" s="1">
        <v>398</v>
      </c>
      <c r="K48" s="1">
        <v>652</v>
      </c>
    </row>
    <row r="49" spans="1:11" s="3" customFormat="1" x14ac:dyDescent="0.35">
      <c r="A49" s="3" t="s">
        <v>8</v>
      </c>
      <c r="B49" s="1">
        <v>771</v>
      </c>
      <c r="C49" s="1">
        <v>715</v>
      </c>
      <c r="D49" s="1">
        <v>704</v>
      </c>
      <c r="E49" s="1">
        <v>1047</v>
      </c>
      <c r="F49" s="1">
        <v>871</v>
      </c>
      <c r="G49" s="1">
        <v>1091</v>
      </c>
      <c r="H49" s="1">
        <v>1120</v>
      </c>
      <c r="I49" s="1">
        <v>1684</v>
      </c>
      <c r="J49" s="1">
        <v>1179</v>
      </c>
      <c r="K49" s="1">
        <v>1777</v>
      </c>
    </row>
    <row r="50" spans="1:11" x14ac:dyDescent="0.35">
      <c r="A50" s="3" t="s">
        <v>2</v>
      </c>
      <c r="B50" s="1">
        <v>1191</v>
      </c>
      <c r="C50" s="1">
        <v>1247</v>
      </c>
      <c r="D50" s="1">
        <v>1236</v>
      </c>
      <c r="E50" s="1">
        <v>1674</v>
      </c>
      <c r="F50" s="1">
        <v>1537</v>
      </c>
      <c r="G50" s="1">
        <v>1830</v>
      </c>
      <c r="H50" s="1">
        <v>1875</v>
      </c>
      <c r="I50" s="1">
        <v>2713</v>
      </c>
      <c r="J50" s="1">
        <v>1938</v>
      </c>
      <c r="K50" s="1">
        <v>2890</v>
      </c>
    </row>
    <row r="51" spans="1:11" x14ac:dyDescent="0.35">
      <c r="A51" s="3"/>
    </row>
    <row r="52" spans="1:11" x14ac:dyDescent="0.35">
      <c r="A52" s="3"/>
    </row>
    <row r="53" spans="1:11" x14ac:dyDescent="0.35">
      <c r="A53" s="3"/>
    </row>
    <row r="54" spans="1:11" x14ac:dyDescent="0.35">
      <c r="A54" s="3"/>
    </row>
    <row r="55" spans="1:11" x14ac:dyDescent="0.35">
      <c r="A55" s="2" t="s">
        <v>43</v>
      </c>
    </row>
    <row r="56" spans="1:11" s="17" customFormat="1" x14ac:dyDescent="0.35">
      <c r="A56" s="18" t="s">
        <v>36</v>
      </c>
      <c r="B56" s="4">
        <v>42825</v>
      </c>
      <c r="C56" s="4">
        <v>43190</v>
      </c>
      <c r="D56" s="4">
        <v>43555</v>
      </c>
      <c r="E56" s="4">
        <v>43921</v>
      </c>
      <c r="F56" s="4">
        <v>44286</v>
      </c>
      <c r="G56" s="4">
        <v>44651</v>
      </c>
      <c r="H56" s="4">
        <v>45016</v>
      </c>
      <c r="I56" s="4">
        <v>45382</v>
      </c>
      <c r="J56" s="4">
        <v>45747</v>
      </c>
      <c r="K56" s="4">
        <v>46112</v>
      </c>
    </row>
    <row r="57" spans="1:11" x14ac:dyDescent="0.35">
      <c r="A57" s="3" t="s">
        <v>10</v>
      </c>
      <c r="B57" s="1">
        <v>88.78</v>
      </c>
      <c r="C57" s="1">
        <v>88.78</v>
      </c>
      <c r="D57" s="1">
        <v>88.78</v>
      </c>
      <c r="E57" s="1">
        <v>89</v>
      </c>
      <c r="F57" s="1">
        <v>89</v>
      </c>
      <c r="G57" s="1">
        <v>89</v>
      </c>
      <c r="H57" s="1">
        <v>89</v>
      </c>
      <c r="I57" s="1">
        <v>89</v>
      </c>
      <c r="J57" s="1">
        <v>89</v>
      </c>
      <c r="K57" s="1">
        <v>89</v>
      </c>
    </row>
    <row r="58" spans="1:11" x14ac:dyDescent="0.35">
      <c r="A58" s="3" t="s">
        <v>11</v>
      </c>
      <c r="B58" s="1">
        <v>4143.6000000000004</v>
      </c>
      <c r="C58" s="1">
        <v>5001.1000000000004</v>
      </c>
      <c r="D58" s="1">
        <v>5981.37</v>
      </c>
      <c r="E58" s="1">
        <v>6580</v>
      </c>
      <c r="F58" s="1">
        <v>7408</v>
      </c>
      <c r="G58" s="1">
        <v>9214</v>
      </c>
      <c r="H58" s="1">
        <v>11762</v>
      </c>
      <c r="I58" s="1">
        <v>9304</v>
      </c>
      <c r="J58" s="1">
        <v>11535</v>
      </c>
      <c r="K58" s="1">
        <v>15614</v>
      </c>
    </row>
    <row r="59" spans="1:11" x14ac:dyDescent="0.35">
      <c r="A59" s="3" t="s">
        <v>12</v>
      </c>
      <c r="B59" s="1">
        <v>1882.43</v>
      </c>
      <c r="C59" s="1">
        <v>1691.01</v>
      </c>
      <c r="D59" s="1">
        <v>2392.98</v>
      </c>
      <c r="E59" s="1">
        <v>3562</v>
      </c>
      <c r="F59" s="1">
        <v>5638</v>
      </c>
      <c r="G59" s="1">
        <v>7275</v>
      </c>
      <c r="H59" s="1">
        <v>9367</v>
      </c>
      <c r="I59" s="1">
        <v>15528</v>
      </c>
      <c r="J59" s="1">
        <v>20777</v>
      </c>
      <c r="K59" s="1">
        <v>30621</v>
      </c>
    </row>
    <row r="60" spans="1:11" x14ac:dyDescent="0.35">
      <c r="A60" s="3" t="s">
        <v>13</v>
      </c>
      <c r="B60" s="1">
        <v>2292.7600000000002</v>
      </c>
      <c r="C60" s="1">
        <v>2740.15</v>
      </c>
      <c r="D60" s="1">
        <v>3246.71</v>
      </c>
      <c r="E60" s="1">
        <v>3313</v>
      </c>
      <c r="F60" s="1">
        <v>3309</v>
      </c>
      <c r="G60" s="1">
        <v>4610</v>
      </c>
      <c r="H60" s="1">
        <v>5802</v>
      </c>
      <c r="I60" s="1">
        <v>6626</v>
      </c>
      <c r="J60" s="1">
        <v>8244</v>
      </c>
      <c r="K60" s="1">
        <v>14237</v>
      </c>
    </row>
    <row r="61" spans="1:11" s="2" customFormat="1" x14ac:dyDescent="0.35">
      <c r="A61" s="2" t="s">
        <v>14</v>
      </c>
      <c r="B61" s="1">
        <v>8407.57</v>
      </c>
      <c r="C61" s="1">
        <v>9521.0400000000009</v>
      </c>
      <c r="D61" s="1">
        <v>11709.84</v>
      </c>
      <c r="E61" s="1">
        <v>13544</v>
      </c>
      <c r="F61" s="1">
        <v>16444</v>
      </c>
      <c r="G61" s="1">
        <v>21188</v>
      </c>
      <c r="H61" s="1">
        <v>27020</v>
      </c>
      <c r="I61" s="1">
        <v>31547</v>
      </c>
      <c r="J61" s="1">
        <v>40645</v>
      </c>
      <c r="K61" s="1">
        <v>60561</v>
      </c>
    </row>
    <row r="62" spans="1:11" x14ac:dyDescent="0.35">
      <c r="A62" s="3" t="s">
        <v>15</v>
      </c>
      <c r="B62" s="1">
        <v>1188.72</v>
      </c>
      <c r="C62" s="1">
        <v>1473.81</v>
      </c>
      <c r="D62" s="1">
        <v>1566.63</v>
      </c>
      <c r="E62" s="1">
        <v>2633</v>
      </c>
      <c r="F62" s="1">
        <v>2523</v>
      </c>
      <c r="G62" s="1">
        <v>2544</v>
      </c>
      <c r="H62" s="1">
        <v>2998</v>
      </c>
      <c r="I62" s="1">
        <v>3709</v>
      </c>
      <c r="J62" s="1">
        <v>4062</v>
      </c>
      <c r="K62" s="1">
        <v>6878</v>
      </c>
    </row>
    <row r="63" spans="1:11" x14ac:dyDescent="0.35">
      <c r="A63" s="3" t="s">
        <v>16</v>
      </c>
      <c r="B63" s="1">
        <v>152.07</v>
      </c>
      <c r="C63" s="1">
        <v>43.37</v>
      </c>
      <c r="D63" s="1">
        <v>31.77</v>
      </c>
      <c r="E63" s="1">
        <v>18</v>
      </c>
      <c r="F63" s="1">
        <v>32</v>
      </c>
      <c r="G63" s="1">
        <v>85</v>
      </c>
      <c r="H63" s="1">
        <v>144</v>
      </c>
      <c r="I63" s="1">
        <v>97</v>
      </c>
      <c r="J63" s="1">
        <v>105</v>
      </c>
      <c r="K63" s="1">
        <v>163</v>
      </c>
    </row>
    <row r="64" spans="1:11" x14ac:dyDescent="0.35">
      <c r="A64" s="3" t="s">
        <v>17</v>
      </c>
      <c r="B64" s="1">
        <v>430.73</v>
      </c>
      <c r="C64" s="1">
        <v>35.99</v>
      </c>
      <c r="D64" s="1">
        <v>108.42</v>
      </c>
      <c r="E64" s="1">
        <v>158</v>
      </c>
      <c r="F64" s="1">
        <v>2824</v>
      </c>
      <c r="G64" s="1">
        <v>294</v>
      </c>
      <c r="H64" s="1">
        <v>2515</v>
      </c>
      <c r="I64" s="1">
        <v>2345</v>
      </c>
      <c r="J64" s="1">
        <v>1988</v>
      </c>
      <c r="K64" s="1">
        <v>3506</v>
      </c>
    </row>
    <row r="65" spans="1:11" x14ac:dyDescent="0.35">
      <c r="A65" s="3" t="s">
        <v>18</v>
      </c>
      <c r="B65" s="1">
        <v>6636.05</v>
      </c>
      <c r="C65" s="1">
        <v>7967.87</v>
      </c>
      <c r="D65" s="1">
        <v>10003.02</v>
      </c>
      <c r="E65" s="1">
        <v>10735</v>
      </c>
      <c r="F65" s="1">
        <v>11065</v>
      </c>
      <c r="G65" s="1">
        <v>18265</v>
      </c>
      <c r="H65" s="1">
        <v>21363</v>
      </c>
      <c r="I65" s="1">
        <v>25396</v>
      </c>
      <c r="J65" s="1">
        <v>34490</v>
      </c>
      <c r="K65" s="1">
        <v>50014</v>
      </c>
    </row>
    <row r="66" spans="1:11" s="2" customFormat="1" x14ac:dyDescent="0.35">
      <c r="A66" s="2" t="s">
        <v>14</v>
      </c>
      <c r="B66" s="1">
        <v>8407.57</v>
      </c>
      <c r="C66" s="1">
        <v>9521.0400000000009</v>
      </c>
      <c r="D66" s="1">
        <v>11709.84</v>
      </c>
      <c r="E66" s="1">
        <v>13544</v>
      </c>
      <c r="F66" s="1">
        <v>16444</v>
      </c>
      <c r="G66" s="1">
        <v>21188</v>
      </c>
      <c r="H66" s="1">
        <v>27020</v>
      </c>
      <c r="I66" s="1">
        <v>31547</v>
      </c>
      <c r="J66" s="1">
        <v>40645</v>
      </c>
      <c r="K66" s="1">
        <v>60561</v>
      </c>
    </row>
    <row r="67" spans="1:11" s="3" customFormat="1" x14ac:dyDescent="0.35">
      <c r="A67" s="3" t="s">
        <v>42</v>
      </c>
      <c r="B67" s="1">
        <v>207.6</v>
      </c>
      <c r="C67" s="1">
        <v>295.69</v>
      </c>
      <c r="D67" s="1">
        <v>420.45</v>
      </c>
      <c r="E67" s="1">
        <v>312</v>
      </c>
      <c r="F67" s="1">
        <v>366</v>
      </c>
      <c r="G67" s="1">
        <v>565</v>
      </c>
      <c r="H67" s="1">
        <v>674</v>
      </c>
      <c r="I67" s="1">
        <v>1018</v>
      </c>
      <c r="J67" s="1">
        <v>1068</v>
      </c>
      <c r="K67" s="1">
        <v>916</v>
      </c>
    </row>
    <row r="68" spans="1:11" x14ac:dyDescent="0.35">
      <c r="A68" s="3" t="s">
        <v>19</v>
      </c>
      <c r="B68" s="1">
        <v>4925.74</v>
      </c>
      <c r="C68" s="1">
        <v>5924.84</v>
      </c>
      <c r="D68" s="1">
        <v>7038.82</v>
      </c>
      <c r="E68" s="1">
        <v>8103</v>
      </c>
      <c r="F68" s="1">
        <v>8408</v>
      </c>
      <c r="G68" s="1">
        <v>13609</v>
      </c>
      <c r="H68" s="1">
        <v>16584</v>
      </c>
      <c r="I68" s="1">
        <v>19051</v>
      </c>
      <c r="J68" s="1">
        <v>28184</v>
      </c>
      <c r="K68" s="1">
        <v>42743</v>
      </c>
    </row>
    <row r="69" spans="1:11" x14ac:dyDescent="0.35">
      <c r="A69" s="5" t="s">
        <v>41</v>
      </c>
      <c r="B69" s="1">
        <v>778.93</v>
      </c>
      <c r="C69" s="1">
        <v>617.91</v>
      </c>
      <c r="D69" s="1">
        <v>1066.48</v>
      </c>
      <c r="E69" s="1">
        <v>381</v>
      </c>
      <c r="F69" s="1">
        <v>560</v>
      </c>
      <c r="G69" s="1">
        <v>1573</v>
      </c>
      <c r="H69" s="1">
        <v>1343</v>
      </c>
      <c r="I69" s="1">
        <v>1526</v>
      </c>
      <c r="J69" s="1">
        <v>1584</v>
      </c>
      <c r="K69" s="1">
        <v>1917</v>
      </c>
    </row>
    <row r="70" spans="1:11" x14ac:dyDescent="0.35">
      <c r="A70" s="5" t="s">
        <v>40</v>
      </c>
      <c r="B70" s="1">
        <v>887786160</v>
      </c>
      <c r="C70" s="1">
        <v>887786160</v>
      </c>
      <c r="D70" s="1">
        <v>887786160</v>
      </c>
      <c r="E70" s="1">
        <v>887786160</v>
      </c>
      <c r="F70" s="1">
        <v>887786160</v>
      </c>
      <c r="G70" s="1">
        <v>887786160</v>
      </c>
      <c r="H70" s="1">
        <v>890000000</v>
      </c>
      <c r="I70" s="1">
        <v>890000000</v>
      </c>
      <c r="J70" s="1">
        <v>890000000</v>
      </c>
      <c r="K70" s="1">
        <v>890000000</v>
      </c>
    </row>
    <row r="71" spans="1:11" x14ac:dyDescent="0.35">
      <c r="A71" s="5" t="s">
        <v>39</v>
      </c>
    </row>
    <row r="72" spans="1:11" x14ac:dyDescent="0.35">
      <c r="A72" s="5" t="s">
        <v>38</v>
      </c>
      <c r="B72" s="1">
        <v>1</v>
      </c>
      <c r="C72" s="1">
        <v>1</v>
      </c>
      <c r="D72" s="1">
        <v>1</v>
      </c>
      <c r="E72" s="1">
        <v>1</v>
      </c>
      <c r="F72" s="1">
        <v>1</v>
      </c>
      <c r="G72" s="1">
        <v>1</v>
      </c>
      <c r="H72" s="1">
        <v>1</v>
      </c>
      <c r="I72" s="1">
        <v>1</v>
      </c>
      <c r="J72" s="1">
        <v>1</v>
      </c>
      <c r="K72" s="1">
        <v>1</v>
      </c>
    </row>
    <row r="74" spans="1:11" x14ac:dyDescent="0.35">
      <c r="A74" s="3"/>
    </row>
    <row r="75" spans="1:11" x14ac:dyDescent="0.35">
      <c r="A75" s="3"/>
    </row>
    <row r="76" spans="1:11" x14ac:dyDescent="0.35">
      <c r="A76" s="3"/>
    </row>
    <row r="77" spans="1:11" x14ac:dyDescent="0.35">
      <c r="A77" s="3"/>
    </row>
    <row r="78" spans="1:11" x14ac:dyDescent="0.35">
      <c r="A78" s="3"/>
    </row>
    <row r="79" spans="1:11" x14ac:dyDescent="0.35">
      <c r="A79" s="3"/>
    </row>
    <row r="80" spans="1:11" x14ac:dyDescent="0.35">
      <c r="A80" s="2" t="s">
        <v>37</v>
      </c>
    </row>
    <row r="81" spans="1:11" s="17" customFormat="1" x14ac:dyDescent="0.35">
      <c r="A81" s="18" t="s">
        <v>36</v>
      </c>
      <c r="B81" s="4">
        <v>42825</v>
      </c>
      <c r="C81" s="4">
        <v>43190</v>
      </c>
      <c r="D81" s="4">
        <v>43555</v>
      </c>
      <c r="E81" s="4">
        <v>43921</v>
      </c>
      <c r="F81" s="4">
        <v>44286</v>
      </c>
      <c r="G81" s="4">
        <v>44651</v>
      </c>
      <c r="H81" s="4">
        <v>45016</v>
      </c>
      <c r="I81" s="4">
        <v>45382</v>
      </c>
      <c r="J81" s="4">
        <v>45747</v>
      </c>
      <c r="K81" s="4">
        <v>46112</v>
      </c>
    </row>
    <row r="82" spans="1:11" s="2" customFormat="1" x14ac:dyDescent="0.35">
      <c r="A82" s="3" t="s">
        <v>35</v>
      </c>
      <c r="B82" s="1">
        <v>1712.3</v>
      </c>
      <c r="C82" s="1">
        <v>-51.12</v>
      </c>
      <c r="D82" s="1">
        <v>1242.92</v>
      </c>
      <c r="E82" s="1">
        <v>-348</v>
      </c>
      <c r="F82" s="1">
        <v>4139</v>
      </c>
      <c r="G82" s="1">
        <v>-724</v>
      </c>
      <c r="H82" s="1">
        <v>1370</v>
      </c>
      <c r="I82" s="1">
        <v>1695</v>
      </c>
      <c r="J82" s="1">
        <v>-541</v>
      </c>
      <c r="K82" s="1">
        <v>5590</v>
      </c>
    </row>
    <row r="83" spans="1:11" s="3" customFormat="1" x14ac:dyDescent="0.35">
      <c r="A83" s="3" t="s">
        <v>34</v>
      </c>
      <c r="B83" s="1">
        <v>-953.15</v>
      </c>
      <c r="C83" s="1">
        <v>97.62</v>
      </c>
      <c r="D83" s="1">
        <v>-796.61</v>
      </c>
      <c r="E83" s="1">
        <v>235</v>
      </c>
      <c r="F83" s="1">
        <v>-2799</v>
      </c>
      <c r="G83" s="1">
        <v>1165</v>
      </c>
      <c r="H83" s="1">
        <v>-1814</v>
      </c>
      <c r="I83" s="1">
        <v>-189</v>
      </c>
      <c r="J83" s="1">
        <v>546</v>
      </c>
      <c r="K83" s="1">
        <v>-2965</v>
      </c>
    </row>
    <row r="84" spans="1:11" s="3" customFormat="1" x14ac:dyDescent="0.35">
      <c r="A84" s="3" t="s">
        <v>33</v>
      </c>
      <c r="B84" s="1">
        <v>-165.6</v>
      </c>
      <c r="C84" s="1">
        <v>-252.45</v>
      </c>
      <c r="D84" s="1">
        <v>-488.83</v>
      </c>
      <c r="E84" s="1">
        <v>-242</v>
      </c>
      <c r="F84" s="1">
        <v>-1234</v>
      </c>
      <c r="G84" s="1">
        <v>-403</v>
      </c>
      <c r="H84" s="1">
        <v>457</v>
      </c>
      <c r="I84" s="1">
        <v>-1329</v>
      </c>
      <c r="J84" s="1">
        <v>-7</v>
      </c>
      <c r="K84" s="1">
        <v>-2159</v>
      </c>
    </row>
    <row r="85" spans="1:11" s="2" customFormat="1" x14ac:dyDescent="0.35">
      <c r="A85" s="3" t="s">
        <v>32</v>
      </c>
      <c r="B85" s="1">
        <v>593.54999999999995</v>
      </c>
      <c r="C85" s="1">
        <v>-205.95</v>
      </c>
      <c r="D85" s="1">
        <v>-42.52</v>
      </c>
      <c r="E85" s="1">
        <v>-355</v>
      </c>
      <c r="F85" s="1">
        <v>106</v>
      </c>
      <c r="G85" s="1">
        <v>38</v>
      </c>
      <c r="H85" s="1">
        <v>13</v>
      </c>
      <c r="I85" s="1">
        <v>177</v>
      </c>
      <c r="J85" s="1">
        <v>-2</v>
      </c>
      <c r="K85" s="1">
        <v>466</v>
      </c>
    </row>
    <row r="86" spans="1:11" x14ac:dyDescent="0.35">
      <c r="A86" s="3"/>
    </row>
    <row r="87" spans="1:11" x14ac:dyDescent="0.35">
      <c r="A87" s="3"/>
    </row>
    <row r="88" spans="1:11" x14ac:dyDescent="0.35">
      <c r="A88" s="3"/>
    </row>
    <row r="89" spans="1:11" x14ac:dyDescent="0.35">
      <c r="A89" s="3"/>
    </row>
    <row r="90" spans="1:11" s="2" customFormat="1" x14ac:dyDescent="0.35">
      <c r="A90" s="2" t="s">
        <v>31</v>
      </c>
      <c r="B90" s="1">
        <v>462.75</v>
      </c>
      <c r="C90" s="1">
        <v>942.3</v>
      </c>
      <c r="D90" s="1">
        <v>1141.8499999999999</v>
      </c>
      <c r="E90" s="1">
        <v>933.7</v>
      </c>
      <c r="F90" s="1">
        <v>1558.05</v>
      </c>
      <c r="G90" s="1">
        <v>2536.15</v>
      </c>
      <c r="H90" s="1">
        <v>2514.9</v>
      </c>
      <c r="I90" s="1">
        <v>3801.8</v>
      </c>
      <c r="J90" s="1">
        <v>3063.35</v>
      </c>
      <c r="K90" s="1">
        <v>3951.4</v>
      </c>
    </row>
    <row r="92" spans="1:11" s="2" customFormat="1" x14ac:dyDescent="0.35">
      <c r="A92" s="2" t="s">
        <v>30</v>
      </c>
    </row>
    <row r="93" spans="1:11" x14ac:dyDescent="0.35">
      <c r="A93" s="5" t="s">
        <v>29</v>
      </c>
      <c r="B93" s="16">
        <v>88.78</v>
      </c>
      <c r="C93" s="16">
        <v>88.78</v>
      </c>
      <c r="D93" s="16">
        <v>88.78</v>
      </c>
      <c r="E93" s="16">
        <v>88.78</v>
      </c>
      <c r="F93" s="16">
        <v>88.78</v>
      </c>
      <c r="G93" s="16">
        <v>88.78</v>
      </c>
      <c r="H93" s="16">
        <v>89</v>
      </c>
      <c r="I93" s="16">
        <v>89</v>
      </c>
      <c r="J93" s="16">
        <v>89</v>
      </c>
      <c r="K93" s="16">
        <v>89</v>
      </c>
    </row>
    <row r="96" spans="1:11" x14ac:dyDescent="0.35">
      <c r="B96" s="35">
        <v>42795</v>
      </c>
      <c r="C96" s="35">
        <v>43160</v>
      </c>
      <c r="D96" s="35">
        <v>43525</v>
      </c>
      <c r="E96" s="35">
        <v>43891</v>
      </c>
      <c r="F96" s="35">
        <v>44256</v>
      </c>
      <c r="G96" s="35">
        <v>44621</v>
      </c>
      <c r="H96" s="35">
        <v>44986</v>
      </c>
      <c r="I96" s="35">
        <v>45352</v>
      </c>
      <c r="J96" s="35">
        <v>45717</v>
      </c>
      <c r="K96" s="35">
        <v>46082</v>
      </c>
    </row>
    <row r="97" spans="1:11" x14ac:dyDescent="0.35">
      <c r="A97" s="5" t="s">
        <v>87</v>
      </c>
      <c r="B97" s="36">
        <v>1712</v>
      </c>
      <c r="C97" s="36">
        <v>-51</v>
      </c>
      <c r="D97" s="36">
        <v>1243</v>
      </c>
      <c r="E97" s="36">
        <v>-348</v>
      </c>
      <c r="F97" s="36">
        <v>4139</v>
      </c>
      <c r="G97" s="36">
        <v>-724</v>
      </c>
      <c r="H97" s="36">
        <v>1370</v>
      </c>
      <c r="I97" s="36">
        <v>1695</v>
      </c>
      <c r="J97" s="36">
        <v>-541</v>
      </c>
      <c r="K97" s="36">
        <v>5590</v>
      </c>
    </row>
    <row r="98" spans="1:11" x14ac:dyDescent="0.35">
      <c r="A98" s="5" t="s">
        <v>88</v>
      </c>
      <c r="B98" s="36">
        <v>1073</v>
      </c>
      <c r="C98" s="36">
        <v>1642</v>
      </c>
      <c r="D98" s="36">
        <v>2183</v>
      </c>
      <c r="E98" s="36">
        <v>2481</v>
      </c>
      <c r="F98" s="36">
        <v>1789</v>
      </c>
      <c r="G98" s="36">
        <v>3298</v>
      </c>
      <c r="H98" s="36">
        <v>4937</v>
      </c>
      <c r="I98" s="36">
        <v>5404</v>
      </c>
      <c r="J98" s="36">
        <v>5774</v>
      </c>
      <c r="K98" s="36">
        <v>8447</v>
      </c>
    </row>
    <row r="99" spans="1:11" x14ac:dyDescent="0.35">
      <c r="A99" s="5" t="s">
        <v>42</v>
      </c>
      <c r="B99" s="36">
        <v>-12</v>
      </c>
      <c r="C99" s="36">
        <v>-90</v>
      </c>
      <c r="D99" s="36">
        <v>-139</v>
      </c>
      <c r="E99" s="36">
        <v>109</v>
      </c>
      <c r="F99" s="36">
        <v>-59</v>
      </c>
      <c r="G99" s="36">
        <v>-207</v>
      </c>
      <c r="H99" s="36">
        <v>-112</v>
      </c>
      <c r="I99" s="36">
        <v>-348</v>
      </c>
      <c r="J99" s="36">
        <v>-95</v>
      </c>
      <c r="K99" s="36">
        <v>210</v>
      </c>
    </row>
    <row r="100" spans="1:11" x14ac:dyDescent="0.35">
      <c r="A100" s="5" t="s">
        <v>19</v>
      </c>
      <c r="B100" s="36">
        <v>-448</v>
      </c>
      <c r="C100" s="36">
        <v>-996</v>
      </c>
      <c r="D100" s="36">
        <v>-1120</v>
      </c>
      <c r="E100" s="36">
        <v>-1057</v>
      </c>
      <c r="F100" s="36">
        <v>-316</v>
      </c>
      <c r="G100" s="36">
        <v>-5199</v>
      </c>
      <c r="H100" s="36">
        <v>-2977</v>
      </c>
      <c r="I100" s="36">
        <v>-2462</v>
      </c>
      <c r="J100" s="36">
        <v>-9072</v>
      </c>
      <c r="K100" s="36">
        <v>-11592</v>
      </c>
    </row>
    <row r="101" spans="1:11" x14ac:dyDescent="0.35">
      <c r="A101" s="5" t="s">
        <v>89</v>
      </c>
      <c r="B101" s="36">
        <v>238</v>
      </c>
      <c r="C101" s="36">
        <v>95</v>
      </c>
      <c r="D101" s="36">
        <v>32</v>
      </c>
      <c r="E101" s="36">
        <v>-310</v>
      </c>
      <c r="F101" s="36">
        <v>195</v>
      </c>
      <c r="G101" s="36">
        <v>504</v>
      </c>
      <c r="H101" s="36">
        <v>-89</v>
      </c>
      <c r="I101" s="36">
        <v>196</v>
      </c>
      <c r="J101" s="36">
        <v>564</v>
      </c>
      <c r="K101" s="36">
        <v>472</v>
      </c>
    </row>
    <row r="102" spans="1:11" x14ac:dyDescent="0.35">
      <c r="A102" s="5" t="s">
        <v>90</v>
      </c>
      <c r="B102" s="36">
        <v>0</v>
      </c>
      <c r="C102" s="36">
        <v>3</v>
      </c>
      <c r="D102" s="36">
        <v>-24</v>
      </c>
      <c r="E102" s="36">
        <v>-20</v>
      </c>
      <c r="F102" s="36">
        <v>-8</v>
      </c>
      <c r="G102" s="36">
        <v>-3</v>
      </c>
      <c r="H102" s="36">
        <v>-18</v>
      </c>
      <c r="I102" s="36">
        <v>-21</v>
      </c>
      <c r="J102" s="36">
        <v>4</v>
      </c>
      <c r="K102" s="36">
        <v>-8</v>
      </c>
    </row>
    <row r="103" spans="1:11" x14ac:dyDescent="0.35">
      <c r="A103" s="5" t="s">
        <v>91</v>
      </c>
      <c r="B103" s="36">
        <v>763</v>
      </c>
      <c r="C103" s="36">
        <v>-270</v>
      </c>
      <c r="D103" s="36">
        <v>741</v>
      </c>
      <c r="E103" s="36">
        <v>-768</v>
      </c>
      <c r="F103" s="36">
        <v>2625</v>
      </c>
      <c r="G103" s="36">
        <v>1188</v>
      </c>
      <c r="H103" s="36">
        <v>-99</v>
      </c>
      <c r="I103" s="36">
        <v>42</v>
      </c>
      <c r="J103" s="36">
        <v>2468</v>
      </c>
      <c r="K103" s="36">
        <v>7304</v>
      </c>
    </row>
    <row r="104" spans="1:11" x14ac:dyDescent="0.35">
      <c r="A104" s="5" t="s">
        <v>92</v>
      </c>
      <c r="B104" s="36">
        <v>375</v>
      </c>
      <c r="C104" s="36">
        <v>22</v>
      </c>
      <c r="D104" s="36">
        <v>206</v>
      </c>
      <c r="E104" s="36">
        <v>-226</v>
      </c>
      <c r="F104" s="36">
        <v>184</v>
      </c>
      <c r="G104" s="36">
        <v>497</v>
      </c>
      <c r="H104" s="36">
        <v>882</v>
      </c>
      <c r="I104" s="36">
        <v>57</v>
      </c>
      <c r="J104" s="36">
        <v>905</v>
      </c>
      <c r="K104" s="36">
        <v>2494</v>
      </c>
    </row>
    <row r="105" spans="1:11" x14ac:dyDescent="0.35">
      <c r="A105" s="5" t="s">
        <v>93</v>
      </c>
      <c r="B105" s="36">
        <v>916</v>
      </c>
      <c r="C105" s="36">
        <v>-1237</v>
      </c>
      <c r="D105" s="36">
        <v>-304</v>
      </c>
      <c r="E105" s="36">
        <v>-2272</v>
      </c>
      <c r="F105" s="36">
        <v>2621</v>
      </c>
      <c r="G105" s="36">
        <v>-3220</v>
      </c>
      <c r="H105" s="36">
        <v>-2413</v>
      </c>
      <c r="I105" s="36">
        <v>-2536</v>
      </c>
      <c r="J105" s="36">
        <v>-5226</v>
      </c>
      <c r="K105" s="36">
        <v>-1120</v>
      </c>
    </row>
    <row r="106" spans="1:11" x14ac:dyDescent="0.35">
      <c r="A106" s="5" t="s">
        <v>94</v>
      </c>
      <c r="B106" s="36">
        <v>-277</v>
      </c>
      <c r="C106" s="36">
        <v>-456</v>
      </c>
      <c r="D106" s="36">
        <v>-636</v>
      </c>
      <c r="E106" s="36">
        <v>-557</v>
      </c>
      <c r="F106" s="36">
        <v>-271</v>
      </c>
      <c r="G106" s="36">
        <v>-802</v>
      </c>
      <c r="H106" s="36">
        <v>-1154</v>
      </c>
      <c r="I106" s="36">
        <v>-1173</v>
      </c>
      <c r="J106" s="36">
        <v>-1089</v>
      </c>
      <c r="K106" s="36">
        <v>-1737</v>
      </c>
    </row>
    <row r="107" spans="1:11" x14ac:dyDescent="0.35">
      <c r="A107" s="5" t="s">
        <v>95</v>
      </c>
      <c r="B107" s="36">
        <v>-953</v>
      </c>
      <c r="C107" s="36">
        <v>98</v>
      </c>
      <c r="D107" s="36">
        <v>-797</v>
      </c>
      <c r="E107" s="36">
        <v>235</v>
      </c>
      <c r="F107" s="36">
        <v>-2799</v>
      </c>
      <c r="G107" s="36">
        <v>1165</v>
      </c>
      <c r="H107" s="36">
        <v>-1814</v>
      </c>
      <c r="I107" s="36">
        <v>-189</v>
      </c>
      <c r="J107" s="36">
        <v>546</v>
      </c>
      <c r="K107" s="36">
        <v>-2965</v>
      </c>
    </row>
    <row r="108" spans="1:11" x14ac:dyDescent="0.35">
      <c r="A108" s="5" t="s">
        <v>96</v>
      </c>
      <c r="B108" s="36">
        <v>-256</v>
      </c>
      <c r="C108" s="36">
        <v>-305</v>
      </c>
      <c r="D108" s="36">
        <v>-265</v>
      </c>
      <c r="E108" s="36">
        <v>-355</v>
      </c>
      <c r="F108" s="36">
        <v>-146</v>
      </c>
      <c r="G108" s="36">
        <v>-224</v>
      </c>
      <c r="H108" s="36">
        <v>-432</v>
      </c>
      <c r="I108" s="36">
        <v>-691</v>
      </c>
      <c r="J108" s="36">
        <v>-494</v>
      </c>
      <c r="K108" s="36">
        <v>-902</v>
      </c>
    </row>
    <row r="109" spans="1:11" x14ac:dyDescent="0.35">
      <c r="A109" s="5" t="s">
        <v>97</v>
      </c>
      <c r="B109" s="36">
        <v>5</v>
      </c>
      <c r="C109" s="36">
        <v>6</v>
      </c>
      <c r="D109" s="36">
        <v>1</v>
      </c>
      <c r="E109" s="36">
        <v>10</v>
      </c>
      <c r="F109" s="36">
        <v>7</v>
      </c>
      <c r="G109" s="36">
        <v>8</v>
      </c>
      <c r="H109" s="36">
        <v>12</v>
      </c>
      <c r="I109" s="36">
        <v>20</v>
      </c>
      <c r="J109" s="36">
        <v>24</v>
      </c>
      <c r="K109" s="36">
        <v>25</v>
      </c>
    </row>
    <row r="110" spans="1:11" x14ac:dyDescent="0.35">
      <c r="A110" s="5" t="s">
        <v>98</v>
      </c>
      <c r="B110" s="36">
        <v>-325</v>
      </c>
      <c r="C110" s="36">
        <v>0</v>
      </c>
      <c r="D110" s="36">
        <v>-36</v>
      </c>
      <c r="E110" s="36">
        <v>-13</v>
      </c>
      <c r="F110" s="36">
        <v>-2656</v>
      </c>
      <c r="G110" s="36">
        <v>-253</v>
      </c>
      <c r="H110" s="36">
        <v>-2104</v>
      </c>
      <c r="I110" s="36">
        <v>-21893</v>
      </c>
      <c r="J110" s="36">
        <v>-15342</v>
      </c>
      <c r="K110" s="36">
        <v>-22035</v>
      </c>
    </row>
    <row r="111" spans="1:11" x14ac:dyDescent="0.35">
      <c r="A111" s="5" t="s">
        <v>99</v>
      </c>
      <c r="B111" s="36">
        <v>0</v>
      </c>
      <c r="C111" s="36">
        <v>412</v>
      </c>
      <c r="D111" s="36">
        <v>18</v>
      </c>
      <c r="E111" s="36">
        <v>0</v>
      </c>
      <c r="F111" s="36">
        <v>43</v>
      </c>
      <c r="G111" s="36">
        <v>2870</v>
      </c>
      <c r="H111" s="36">
        <v>0</v>
      </c>
      <c r="I111" s="36">
        <v>22213</v>
      </c>
      <c r="J111" s="36">
        <v>15747</v>
      </c>
      <c r="K111" s="36">
        <v>20797</v>
      </c>
    </row>
    <row r="112" spans="1:11" x14ac:dyDescent="0.35">
      <c r="A112" s="5" t="s">
        <v>100</v>
      </c>
      <c r="B112" s="36">
        <v>41</v>
      </c>
      <c r="C112" s="36">
        <v>64</v>
      </c>
      <c r="D112" s="36">
        <v>85</v>
      </c>
      <c r="E112" s="36">
        <v>73</v>
      </c>
      <c r="F112" s="36">
        <v>49</v>
      </c>
      <c r="G112" s="36">
        <v>56</v>
      </c>
      <c r="H112" s="36">
        <v>143</v>
      </c>
      <c r="I112" s="36">
        <v>249</v>
      </c>
      <c r="J112" s="36">
        <v>288</v>
      </c>
      <c r="K112" s="36">
        <v>227</v>
      </c>
    </row>
    <row r="113" spans="1:11" x14ac:dyDescent="0.35">
      <c r="A113" s="5" t="s">
        <v>101</v>
      </c>
      <c r="B113" s="36">
        <v>0</v>
      </c>
      <c r="C113" s="36">
        <v>0</v>
      </c>
      <c r="D113" s="36">
        <v>0</v>
      </c>
      <c r="E113" s="36">
        <v>-39</v>
      </c>
      <c r="F113" s="36">
        <v>0</v>
      </c>
      <c r="G113" s="36">
        <v>0</v>
      </c>
      <c r="H113" s="36">
        <v>0</v>
      </c>
      <c r="I113" s="36">
        <v>0</v>
      </c>
      <c r="J113" s="36">
        <v>0</v>
      </c>
      <c r="K113" s="36">
        <v>0</v>
      </c>
    </row>
    <row r="114" spans="1:11" x14ac:dyDescent="0.35">
      <c r="A114" s="5" t="s">
        <v>102</v>
      </c>
      <c r="B114" s="36">
        <v>0</v>
      </c>
      <c r="C114" s="36">
        <v>0</v>
      </c>
      <c r="D114" s="36">
        <v>0</v>
      </c>
      <c r="E114" s="36">
        <v>0</v>
      </c>
      <c r="F114" s="36">
        <v>0</v>
      </c>
      <c r="G114" s="36">
        <v>0</v>
      </c>
      <c r="H114" s="36">
        <v>0</v>
      </c>
      <c r="I114" s="36">
        <v>0</v>
      </c>
      <c r="J114" s="36">
        <v>0</v>
      </c>
      <c r="K114" s="36">
        <v>0</v>
      </c>
    </row>
    <row r="115" spans="1:11" x14ac:dyDescent="0.35">
      <c r="A115" s="5" t="s">
        <v>103</v>
      </c>
      <c r="B115" s="36">
        <v>-385</v>
      </c>
      <c r="C115" s="36">
        <v>0</v>
      </c>
      <c r="D115" s="36">
        <v>0</v>
      </c>
      <c r="E115" s="36">
        <v>0</v>
      </c>
      <c r="F115" s="36">
        <v>0</v>
      </c>
      <c r="G115" s="36">
        <v>0</v>
      </c>
      <c r="H115" s="36">
        <v>0</v>
      </c>
      <c r="I115" s="36">
        <v>0</v>
      </c>
      <c r="J115" s="36">
        <v>0</v>
      </c>
      <c r="K115" s="36">
        <v>0</v>
      </c>
    </row>
    <row r="116" spans="1:11" x14ac:dyDescent="0.35">
      <c r="A116" s="5" t="s">
        <v>104</v>
      </c>
      <c r="B116" s="36">
        <v>5</v>
      </c>
      <c r="C116" s="36">
        <v>-35</v>
      </c>
      <c r="D116" s="36">
        <v>-115</v>
      </c>
      <c r="E116" s="36">
        <v>200</v>
      </c>
      <c r="F116" s="36">
        <v>-50</v>
      </c>
      <c r="G116" s="36">
        <v>-344</v>
      </c>
      <c r="H116" s="36">
        <v>294</v>
      </c>
      <c r="I116" s="36">
        <v>-143</v>
      </c>
      <c r="J116" s="36">
        <v>243</v>
      </c>
      <c r="K116" s="36">
        <v>0</v>
      </c>
    </row>
    <row r="117" spans="1:11" x14ac:dyDescent="0.35">
      <c r="A117" s="5" t="s">
        <v>105</v>
      </c>
      <c r="B117" s="36">
        <v>-38</v>
      </c>
      <c r="C117" s="36">
        <v>-43</v>
      </c>
      <c r="D117" s="36">
        <v>-485</v>
      </c>
      <c r="E117" s="36">
        <v>359</v>
      </c>
      <c r="F117" s="36">
        <v>-46</v>
      </c>
      <c r="G117" s="36">
        <v>-948</v>
      </c>
      <c r="H117" s="36">
        <v>273</v>
      </c>
      <c r="I117" s="36">
        <v>56</v>
      </c>
      <c r="J117" s="36">
        <v>80</v>
      </c>
      <c r="K117" s="36">
        <v>-1077</v>
      </c>
    </row>
    <row r="118" spans="1:11" x14ac:dyDescent="0.35">
      <c r="A118" s="5" t="s">
        <v>106</v>
      </c>
      <c r="B118" s="36">
        <v>-166</v>
      </c>
      <c r="C118" s="36">
        <v>-252</v>
      </c>
      <c r="D118" s="36">
        <v>-489</v>
      </c>
      <c r="E118" s="36">
        <v>-242</v>
      </c>
      <c r="F118" s="36">
        <v>-1234</v>
      </c>
      <c r="G118" s="36">
        <v>-403</v>
      </c>
      <c r="H118" s="36">
        <v>457</v>
      </c>
      <c r="I118" s="36">
        <v>-1329</v>
      </c>
      <c r="J118" s="36">
        <v>-7</v>
      </c>
      <c r="K118" s="36">
        <v>-2159</v>
      </c>
    </row>
    <row r="119" spans="1:11" x14ac:dyDescent="0.35">
      <c r="A119" s="5" t="s">
        <v>107</v>
      </c>
      <c r="B119" s="36">
        <v>0</v>
      </c>
      <c r="C119" s="36">
        <v>0</v>
      </c>
      <c r="D119" s="36">
        <v>0</v>
      </c>
      <c r="E119" s="36">
        <v>693</v>
      </c>
      <c r="F119" s="36">
        <v>0</v>
      </c>
      <c r="G119" s="36">
        <v>349</v>
      </c>
      <c r="H119" s="36">
        <v>1684</v>
      </c>
      <c r="I119" s="36">
        <v>5629</v>
      </c>
      <c r="J119" s="36">
        <v>2599</v>
      </c>
      <c r="K119" s="36">
        <v>3314</v>
      </c>
    </row>
    <row r="120" spans="1:11" x14ac:dyDescent="0.35">
      <c r="A120" s="5" t="s">
        <v>108</v>
      </c>
      <c r="B120" s="36">
        <v>0</v>
      </c>
      <c r="C120" s="36">
        <v>0</v>
      </c>
      <c r="D120" s="36">
        <v>-39</v>
      </c>
      <c r="E120" s="36">
        <v>0</v>
      </c>
      <c r="F120" s="36">
        <v>-562</v>
      </c>
      <c r="G120" s="36">
        <v>-7</v>
      </c>
      <c r="H120" s="36">
        <v>-7</v>
      </c>
      <c r="I120" s="36">
        <v>0</v>
      </c>
      <c r="J120" s="36">
        <v>-378</v>
      </c>
      <c r="K120" s="36">
        <v>-2632</v>
      </c>
    </row>
    <row r="121" spans="1:11" x14ac:dyDescent="0.35">
      <c r="A121" s="5" t="s">
        <v>109</v>
      </c>
      <c r="B121" s="36">
        <v>-38</v>
      </c>
      <c r="C121" s="36">
        <v>-54</v>
      </c>
      <c r="D121" s="36">
        <v>-53</v>
      </c>
      <c r="E121" s="36">
        <v>-399</v>
      </c>
      <c r="F121" s="36">
        <v>-317</v>
      </c>
      <c r="G121" s="36">
        <v>-218</v>
      </c>
      <c r="H121" s="36">
        <v>-300</v>
      </c>
      <c r="I121" s="36">
        <v>-619</v>
      </c>
      <c r="J121" s="36">
        <v>-538</v>
      </c>
      <c r="K121" s="36">
        <v>-1000</v>
      </c>
    </row>
    <row r="122" spans="1:11" x14ac:dyDescent="0.35">
      <c r="A122" s="5" t="s">
        <v>110</v>
      </c>
      <c r="B122" s="36">
        <v>-4</v>
      </c>
      <c r="C122" s="36">
        <v>-277</v>
      </c>
      <c r="D122" s="36">
        <v>-397</v>
      </c>
      <c r="E122" s="36">
        <v>-536</v>
      </c>
      <c r="F122" s="36">
        <v>-355</v>
      </c>
      <c r="G122" s="36">
        <v>-355</v>
      </c>
      <c r="H122" s="36">
        <v>-666</v>
      </c>
      <c r="I122" s="36">
        <v>-888</v>
      </c>
      <c r="J122" s="36">
        <v>-976</v>
      </c>
      <c r="K122" s="36">
        <v>-976</v>
      </c>
    </row>
    <row r="123" spans="1:11" x14ac:dyDescent="0.35">
      <c r="A123" s="5" t="s">
        <v>111</v>
      </c>
      <c r="B123" s="36">
        <v>0</v>
      </c>
      <c r="C123" s="36">
        <v>0</v>
      </c>
      <c r="D123" s="36">
        <v>0</v>
      </c>
      <c r="E123" s="36">
        <v>0</v>
      </c>
      <c r="F123" s="36">
        <v>0</v>
      </c>
      <c r="G123" s="36">
        <v>-172</v>
      </c>
      <c r="H123" s="36">
        <v>-254</v>
      </c>
      <c r="I123" s="36">
        <v>-318</v>
      </c>
      <c r="J123" s="36">
        <v>-700</v>
      </c>
      <c r="K123" s="36">
        <v>-865</v>
      </c>
    </row>
    <row r="124" spans="1:11" x14ac:dyDescent="0.35">
      <c r="A124" s="5" t="s">
        <v>112</v>
      </c>
      <c r="B124" s="36">
        <v>-124</v>
      </c>
      <c r="C124" s="36">
        <v>79</v>
      </c>
      <c r="D124" s="36">
        <v>0</v>
      </c>
      <c r="E124" s="36">
        <v>0</v>
      </c>
      <c r="F124" s="36">
        <v>0</v>
      </c>
      <c r="G124" s="36">
        <v>0</v>
      </c>
      <c r="H124" s="36">
        <v>0</v>
      </c>
      <c r="I124" s="36">
        <v>-5133</v>
      </c>
      <c r="J124" s="36">
        <v>-14</v>
      </c>
      <c r="K124" s="36">
        <v>0</v>
      </c>
    </row>
    <row r="125" spans="1:11" x14ac:dyDescent="0.35">
      <c r="A125" s="5" t="s">
        <v>32</v>
      </c>
      <c r="B125" s="36">
        <v>594</v>
      </c>
      <c r="C125" s="36">
        <v>-206</v>
      </c>
      <c r="D125" s="36">
        <v>-43</v>
      </c>
      <c r="E125" s="36">
        <v>-355</v>
      </c>
      <c r="F125" s="36">
        <v>106</v>
      </c>
      <c r="G125" s="36">
        <v>38</v>
      </c>
      <c r="H125" s="36">
        <v>13</v>
      </c>
      <c r="I125" s="36">
        <v>177</v>
      </c>
      <c r="J125" s="36">
        <v>-2</v>
      </c>
      <c r="K125" s="36">
        <v>466</v>
      </c>
    </row>
    <row r="126" spans="1:11" x14ac:dyDescent="0.35">
      <c r="A126" s="5" t="s">
        <v>113</v>
      </c>
      <c r="B126" s="36">
        <v>1461</v>
      </c>
      <c r="C126" s="36">
        <v>-350</v>
      </c>
      <c r="D126" s="36">
        <v>980</v>
      </c>
      <c r="E126" s="36">
        <v>-693</v>
      </c>
      <c r="F126" s="36">
        <v>4000</v>
      </c>
      <c r="G126" s="36">
        <v>-940</v>
      </c>
      <c r="H126" s="36">
        <v>950</v>
      </c>
      <c r="I126" s="36">
        <v>1024</v>
      </c>
      <c r="J126" s="36">
        <v>-1011</v>
      </c>
      <c r="K126" s="36">
        <v>4713</v>
      </c>
    </row>
    <row r="127" spans="1:11" x14ac:dyDescent="0.35">
      <c r="A127" s="5" t="s">
        <v>114</v>
      </c>
      <c r="B127" s="36">
        <v>1.71</v>
      </c>
      <c r="C127" s="36">
        <v>0.25</v>
      </c>
      <c r="D127" s="36">
        <v>0.94</v>
      </c>
      <c r="E127" s="36">
        <v>0.08</v>
      </c>
      <c r="F127" s="36">
        <v>2.56</v>
      </c>
      <c r="G127" s="36">
        <v>0.02</v>
      </c>
      <c r="H127" s="36">
        <v>0.52</v>
      </c>
      <c r="I127" s="36">
        <v>0.54</v>
      </c>
      <c r="J127" s="36">
        <v>0.1</v>
      </c>
      <c r="K127" s="36">
        <v>0.88</v>
      </c>
    </row>
    <row r="129" spans="2:11" x14ac:dyDescent="0.35">
      <c r="B129" s="5" t="s">
        <v>187</v>
      </c>
      <c r="C129" s="5" t="s">
        <v>188</v>
      </c>
      <c r="D129" s="5" t="s">
        <v>189</v>
      </c>
      <c r="E129" s="5" t="s">
        <v>190</v>
      </c>
      <c r="F129" s="5" t="s">
        <v>191</v>
      </c>
      <c r="G129" s="5" t="s">
        <v>192</v>
      </c>
      <c r="H129" s="5" t="s">
        <v>193</v>
      </c>
      <c r="I129" s="5" t="s">
        <v>194</v>
      </c>
      <c r="J129" s="5" t="s">
        <v>195</v>
      </c>
      <c r="K129" s="5" t="s">
        <v>196</v>
      </c>
    </row>
  </sheetData>
  <mergeCells count="2">
    <mergeCell ref="E1:K1"/>
    <mergeCell ref="E2:K2"/>
  </mergeCells>
  <phoneticPr fontId="33" type="noConversion"/>
  <conditionalFormatting sqref="E1:K1">
    <cfRule type="cellIs" dxfId="0" priority="1" operator="notEqual">
      <formula>""</formula>
    </cfRule>
  </conditionalFormatting>
  <hyperlinks>
    <hyperlink ref="E1:K1" r:id="rId1" display="https://www.screener.in/excel/" xr:uid="{E0B1B08D-7F6C-4FAE-BF91-036268890F4F}"/>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C510F-024C-48C8-B4BE-E77826BC314A}">
  <sheetPr>
    <pageSetUpPr autoPageBreaks="0"/>
  </sheetPr>
  <dimension ref="A2:Q114"/>
  <sheetViews>
    <sheetView showGridLines="0" zoomScale="68" workbookViewId="0">
      <pane ySplit="3" topLeftCell="A4" activePane="bottomLeft" state="frozen"/>
      <selection pane="bottomLeft" activeCell="F118" sqref="F118"/>
    </sheetView>
  </sheetViews>
  <sheetFormatPr defaultRowHeight="14.5" x14ac:dyDescent="0.35"/>
  <cols>
    <col min="1" max="1" width="2.1796875" customWidth="1"/>
    <col min="2" max="2" width="36" customWidth="1"/>
    <col min="3" max="13" width="12.6328125" customWidth="1"/>
  </cols>
  <sheetData>
    <row r="2" spans="1:17" x14ac:dyDescent="0.35">
      <c r="B2" s="123" t="str">
        <f xml:space="preserve"> "Historical Financial Statement -" &amp; 'Data Sheet'!B1</f>
        <v>Historical Financial Statement -TITAN COMPANY LTD</v>
      </c>
      <c r="C2" s="123"/>
      <c r="D2" s="123"/>
      <c r="E2" s="123"/>
      <c r="F2" s="123"/>
      <c r="G2" s="123"/>
      <c r="H2" s="123"/>
      <c r="I2" s="123"/>
      <c r="J2" s="123"/>
      <c r="K2" s="123"/>
      <c r="L2" s="123"/>
      <c r="M2" s="123"/>
    </row>
    <row r="3" spans="1:17" x14ac:dyDescent="0.35">
      <c r="B3" s="7" t="s">
        <v>20</v>
      </c>
      <c r="C3" s="8">
        <f>'Data Sheet'!B16</f>
        <v>42825</v>
      </c>
      <c r="D3" s="8">
        <f>'Data Sheet'!C16</f>
        <v>43190</v>
      </c>
      <c r="E3" s="8">
        <f>'Data Sheet'!D16</f>
        <v>43555</v>
      </c>
      <c r="F3" s="8">
        <f>'Data Sheet'!E16</f>
        <v>43921</v>
      </c>
      <c r="G3" s="8">
        <f>'Data Sheet'!F16</f>
        <v>44286</v>
      </c>
      <c r="H3" s="8">
        <f>'Data Sheet'!G16</f>
        <v>44651</v>
      </c>
      <c r="I3" s="8">
        <f>'Data Sheet'!H16</f>
        <v>45016</v>
      </c>
      <c r="J3" s="8">
        <f>'Data Sheet'!I16</f>
        <v>45382</v>
      </c>
      <c r="K3" s="8">
        <f>'Data Sheet'!J16</f>
        <v>45747</v>
      </c>
      <c r="L3" s="8">
        <f>'Data Sheet'!K16</f>
        <v>46112</v>
      </c>
      <c r="M3" s="8" t="s">
        <v>21</v>
      </c>
      <c r="N3" s="6"/>
    </row>
    <row r="4" spans="1:17" s="19" customFormat="1" x14ac:dyDescent="0.35">
      <c r="A4" s="19" t="s">
        <v>23</v>
      </c>
      <c r="B4" s="19" t="s">
        <v>22</v>
      </c>
    </row>
    <row r="5" spans="1:17" s="30" customFormat="1" x14ac:dyDescent="0.35">
      <c r="B5" s="30" t="s">
        <v>0</v>
      </c>
      <c r="C5" s="30">
        <f>IFERROR('Data Sheet'!B17, 0)</f>
        <v>13260.83</v>
      </c>
      <c r="D5" s="30">
        <f>IFERROR('Data Sheet'!C17, 0)</f>
        <v>16119.77</v>
      </c>
      <c r="E5" s="30">
        <f>IFERROR('Data Sheet'!D17, 0)</f>
        <v>19778.52</v>
      </c>
      <c r="F5" s="30">
        <f>IFERROR('Data Sheet'!E17, 0)</f>
        <v>21052</v>
      </c>
      <c r="G5" s="30">
        <f>IFERROR('Data Sheet'!F17, 0)</f>
        <v>21644</v>
      </c>
      <c r="H5" s="30">
        <f>IFERROR('Data Sheet'!G17, 0)</f>
        <v>28799</v>
      </c>
      <c r="I5" s="30">
        <f>IFERROR('Data Sheet'!H17, 0)</f>
        <v>40575</v>
      </c>
      <c r="J5" s="30">
        <f>IFERROR('Data Sheet'!I17, 0)</f>
        <v>51084</v>
      </c>
      <c r="K5" s="30">
        <f>IFERROR('Data Sheet'!J17, 0)</f>
        <v>60456</v>
      </c>
      <c r="L5" s="30">
        <f>IFERROR('Data Sheet'!K17, 0)</f>
        <v>87584</v>
      </c>
      <c r="M5" s="30">
        <f>IFERROR(SUM('Data Sheet'!H42:K42),0)</f>
        <v>92417</v>
      </c>
    </row>
    <row r="6" spans="1:17" x14ac:dyDescent="0.35">
      <c r="B6" s="10" t="s">
        <v>9</v>
      </c>
      <c r="C6" s="11"/>
      <c r="D6" s="13">
        <f>D5/C5-1</f>
        <v>0.21559283996552248</v>
      </c>
      <c r="E6" s="12">
        <f t="shared" ref="E6:M6" si="0">E5/D5-1</f>
        <v>0.22697284142391605</v>
      </c>
      <c r="F6" s="12">
        <f t="shared" si="0"/>
        <v>6.4387021880302431E-2</v>
      </c>
      <c r="G6" s="12">
        <f t="shared" si="0"/>
        <v>2.8120843625308867E-2</v>
      </c>
      <c r="H6" s="12">
        <f t="shared" si="0"/>
        <v>0.33057660321567184</v>
      </c>
      <c r="I6" s="12">
        <f t="shared" si="0"/>
        <v>0.40890308691274013</v>
      </c>
      <c r="J6" s="12">
        <f t="shared" si="0"/>
        <v>0.25900184842883545</v>
      </c>
      <c r="K6" s="12">
        <f t="shared" si="0"/>
        <v>0.18346253229974163</v>
      </c>
      <c r="L6" s="12">
        <f t="shared" si="0"/>
        <v>0.448723038242689</v>
      </c>
      <c r="M6" s="12">
        <f t="shared" si="0"/>
        <v>5.5181311655096765E-2</v>
      </c>
    </row>
    <row r="7" spans="1:17" x14ac:dyDescent="0.35">
      <c r="F7" s="9"/>
      <c r="G7" s="9"/>
    </row>
    <row r="8" spans="1:17" s="30" customFormat="1" x14ac:dyDescent="0.35">
      <c r="B8" s="30" t="s">
        <v>24</v>
      </c>
      <c r="C8" s="30">
        <f>IFERROR(SUM('Data Sheet'!B18,'Data Sheet'!B20:B22)-1*'Data Sheet'!B19, 0)</f>
        <v>10606.01</v>
      </c>
      <c r="D8" s="30">
        <f>IFERROR(SUM('Data Sheet'!C18,'Data Sheet'!C20:C22)-1*'Data Sheet'!C19, 0)</f>
        <v>12762.63</v>
      </c>
      <c r="E8" s="30">
        <f>IFERROR(SUM('Data Sheet'!D18,'Data Sheet'!D20:D22)-1*'Data Sheet'!D19, 0)</f>
        <v>15660.48</v>
      </c>
      <c r="F8" s="30">
        <f>IFERROR(SUM('Data Sheet'!E18,'Data Sheet'!E20:E22)-1*'Data Sheet'!E19, 0)</f>
        <v>16626</v>
      </c>
      <c r="G8" s="30">
        <f>IFERROR(SUM('Data Sheet'!F18,'Data Sheet'!F20:F22)-1*'Data Sheet'!F19, 0)</f>
        <v>17661</v>
      </c>
      <c r="H8" s="30">
        <f>IFERROR(SUM('Data Sheet'!G18,'Data Sheet'!G20:G22)-1*'Data Sheet'!G19, 0)</f>
        <v>23225</v>
      </c>
      <c r="I8" s="30">
        <f>IFERROR(SUM('Data Sheet'!H18,'Data Sheet'!H20:H22)-1*'Data Sheet'!H19, 0)</f>
        <v>32295</v>
      </c>
      <c r="J8" s="30">
        <f>IFERROR(SUM('Data Sheet'!I18,'Data Sheet'!I20:I22)-1*'Data Sheet'!I19, 0)</f>
        <v>41664</v>
      </c>
      <c r="K8" s="30">
        <f>IFERROR(SUM('Data Sheet'!J18,'Data Sheet'!J20:J22)-1*'Data Sheet'!J19, 0)</f>
        <v>50024</v>
      </c>
      <c r="L8" s="30">
        <f>IFERROR(SUM('Data Sheet'!K18,'Data Sheet'!K20:K22)-1*'Data Sheet'!K19, 0)</f>
        <v>73461</v>
      </c>
      <c r="M8" s="30">
        <f>IFERROR(SUM('Data Sheet'!H43:K43),0)</f>
        <v>83001</v>
      </c>
    </row>
    <row r="9" spans="1:17" x14ac:dyDescent="0.35">
      <c r="B9" s="10" t="s">
        <v>26</v>
      </c>
      <c r="C9" s="13">
        <f>C8/C5</f>
        <v>0.79979986169794803</v>
      </c>
      <c r="D9" s="13">
        <f t="shared" ref="D9:M9" si="1">D8/D5</f>
        <v>0.79173772330498504</v>
      </c>
      <c r="E9" s="13">
        <f t="shared" si="1"/>
        <v>0.79179230801900236</v>
      </c>
      <c r="F9" s="13">
        <f t="shared" si="1"/>
        <v>0.78975869276078281</v>
      </c>
      <c r="G9" s="13">
        <f t="shared" si="1"/>
        <v>0.81597671410090555</v>
      </c>
      <c r="H9" s="13">
        <f t="shared" si="1"/>
        <v>0.80645161290322576</v>
      </c>
      <c r="I9" s="13">
        <f t="shared" si="1"/>
        <v>0.79593345656192238</v>
      </c>
      <c r="J9" s="13">
        <f t="shared" si="1"/>
        <v>0.81559783885365278</v>
      </c>
      <c r="K9" s="13">
        <f t="shared" si="1"/>
        <v>0.82744475320894539</v>
      </c>
      <c r="L9" s="13">
        <f t="shared" si="1"/>
        <v>0.83874908659115821</v>
      </c>
      <c r="M9" s="13">
        <f t="shared" si="1"/>
        <v>0.89811398335804016</v>
      </c>
      <c r="O9" s="37"/>
    </row>
    <row r="11" spans="1:17" s="32" customFormat="1" x14ac:dyDescent="0.35">
      <c r="A11" s="31"/>
      <c r="B11" s="31" t="s">
        <v>27</v>
      </c>
      <c r="C11" s="31">
        <f>C5-C8</f>
        <v>2654.8199999999997</v>
      </c>
      <c r="D11" s="31">
        <f t="shared" ref="D11:M11" si="2">D5-D8</f>
        <v>3357.1400000000012</v>
      </c>
      <c r="E11" s="31">
        <f t="shared" si="2"/>
        <v>4118.0400000000009</v>
      </c>
      <c r="F11" s="31">
        <f t="shared" si="2"/>
        <v>4426</v>
      </c>
      <c r="G11" s="31">
        <f t="shared" si="2"/>
        <v>3983</v>
      </c>
      <c r="H11" s="31">
        <f t="shared" si="2"/>
        <v>5574</v>
      </c>
      <c r="I11" s="31">
        <f t="shared" si="2"/>
        <v>8280</v>
      </c>
      <c r="J11" s="31">
        <f t="shared" si="2"/>
        <v>9420</v>
      </c>
      <c r="K11" s="31">
        <f t="shared" si="2"/>
        <v>10432</v>
      </c>
      <c r="L11" s="31">
        <f t="shared" si="2"/>
        <v>14123</v>
      </c>
      <c r="M11" s="31">
        <f t="shared" si="2"/>
        <v>9416</v>
      </c>
    </row>
    <row r="12" spans="1:17" x14ac:dyDescent="0.35">
      <c r="B12" s="15" t="s">
        <v>25</v>
      </c>
      <c r="C12" s="13">
        <f>C11/C5</f>
        <v>0.20020013830205197</v>
      </c>
      <c r="D12" s="13">
        <f t="shared" ref="D12:M12" si="3">D11/D5</f>
        <v>0.20826227669501496</v>
      </c>
      <c r="E12" s="13">
        <f t="shared" si="3"/>
        <v>0.20820769198099762</v>
      </c>
      <c r="F12" s="13">
        <f t="shared" si="3"/>
        <v>0.21024130723921719</v>
      </c>
      <c r="G12" s="13">
        <f t="shared" si="3"/>
        <v>0.18402328589909445</v>
      </c>
      <c r="H12" s="13">
        <f t="shared" si="3"/>
        <v>0.19354838709677419</v>
      </c>
      <c r="I12" s="13">
        <f t="shared" si="3"/>
        <v>0.20406654343807765</v>
      </c>
      <c r="J12" s="13">
        <f t="shared" si="3"/>
        <v>0.18440216114634719</v>
      </c>
      <c r="K12" s="13">
        <f t="shared" si="3"/>
        <v>0.17255524679105466</v>
      </c>
      <c r="L12" s="13">
        <f t="shared" si="3"/>
        <v>0.16125091340884179</v>
      </c>
      <c r="M12" s="13">
        <f t="shared" si="3"/>
        <v>0.10188601664195981</v>
      </c>
      <c r="Q12" t="s">
        <v>68</v>
      </c>
    </row>
    <row r="14" spans="1:17" s="30" customFormat="1" x14ac:dyDescent="0.35">
      <c r="B14" s="30" t="s">
        <v>28</v>
      </c>
      <c r="C14" s="30">
        <f>IFERROR(SUM('Data Sheet'!B23,'Data Sheet'!B24),0)</f>
        <v>1490.92</v>
      </c>
      <c r="D14" s="30">
        <f>IFERROR(SUM('Data Sheet'!C23,'Data Sheet'!C24),0)</f>
        <v>1712.94</v>
      </c>
      <c r="E14" s="30">
        <f>IFERROR(SUM('Data Sheet'!D23,'Data Sheet'!D24),0)</f>
        <v>2124.25</v>
      </c>
      <c r="F14" s="30">
        <f>IFERROR(SUM('Data Sheet'!E23,'Data Sheet'!E24),0)</f>
        <v>1963</v>
      </c>
      <c r="G14" s="30">
        <f>IFERROR(SUM('Data Sheet'!F23,'Data Sheet'!F24),0)</f>
        <v>2258</v>
      </c>
      <c r="H14" s="30">
        <f>IFERROR(SUM('Data Sheet'!G23,'Data Sheet'!G24),0)</f>
        <v>2230</v>
      </c>
      <c r="I14" s="30">
        <f>IFERROR(SUM('Data Sheet'!H23,'Data Sheet'!H24),0)</f>
        <v>3398</v>
      </c>
      <c r="J14" s="30">
        <f>IFERROR(SUM('Data Sheet'!I23,'Data Sheet'!I24),0)</f>
        <v>4128</v>
      </c>
      <c r="K14" s="30">
        <f>IFERROR(SUM('Data Sheet'!J23,'Data Sheet'!J24),0)</f>
        <v>4738</v>
      </c>
      <c r="L14" s="30">
        <f>IFERROR(SUM('Data Sheet'!K23,'Data Sheet'!K24),0)</f>
        <v>5766</v>
      </c>
    </row>
    <row r="15" spans="1:17" x14ac:dyDescent="0.35">
      <c r="B15" s="15" t="s">
        <v>64</v>
      </c>
      <c r="C15" s="13">
        <f>C14/C5</f>
        <v>0.11243036823486917</v>
      </c>
      <c r="D15" s="13">
        <f t="shared" ref="D15:L15" si="4">D14/D5</f>
        <v>0.10626330276424539</v>
      </c>
      <c r="E15" s="13">
        <f t="shared" si="4"/>
        <v>0.10740186828943722</v>
      </c>
      <c r="F15" s="13">
        <f t="shared" si="4"/>
        <v>9.3245297358920773E-2</v>
      </c>
      <c r="G15" s="13">
        <f t="shared" si="4"/>
        <v>0.10432452411753834</v>
      </c>
      <c r="H15" s="13">
        <f t="shared" si="4"/>
        <v>7.7433244209868399E-2</v>
      </c>
      <c r="I15" s="13">
        <f t="shared" si="4"/>
        <v>8.3746149106592727E-2</v>
      </c>
      <c r="J15" s="13">
        <f t="shared" si="4"/>
        <v>8.0808080808080815E-2</v>
      </c>
      <c r="K15" s="13">
        <f t="shared" si="4"/>
        <v>7.8371046711658066E-2</v>
      </c>
      <c r="L15" s="13">
        <f t="shared" si="4"/>
        <v>6.5833942272561202E-2</v>
      </c>
    </row>
    <row r="17" spans="1:13" s="32" customFormat="1" x14ac:dyDescent="0.35">
      <c r="A17" s="31"/>
      <c r="B17" s="31" t="s">
        <v>65</v>
      </c>
      <c r="C17" s="31">
        <f>IFERROR('Historical FS'!C11-'Historical FS'!C14,0)</f>
        <v>1163.8999999999996</v>
      </c>
      <c r="D17" s="31">
        <f>IFERROR('Historical FS'!D11-'Historical FS'!D14,0)</f>
        <v>1644.2000000000012</v>
      </c>
      <c r="E17" s="31">
        <f>IFERROR('Historical FS'!E11-'Historical FS'!E14,0)</f>
        <v>1993.7900000000009</v>
      </c>
      <c r="F17" s="31">
        <f>IFERROR('Historical FS'!F11-'Historical FS'!F14,0)</f>
        <v>2463</v>
      </c>
      <c r="G17" s="31">
        <f>IFERROR('Historical FS'!G11-'Historical FS'!G14,0)</f>
        <v>1725</v>
      </c>
      <c r="H17" s="31">
        <f>IFERROR('Historical FS'!H11-'Historical FS'!H14,0)</f>
        <v>3344</v>
      </c>
      <c r="I17" s="31">
        <f>IFERROR('Historical FS'!I11-'Historical FS'!I14,0)</f>
        <v>4882</v>
      </c>
      <c r="J17" s="31">
        <f>IFERROR('Historical FS'!J11-'Historical FS'!J14,0)</f>
        <v>5292</v>
      </c>
      <c r="K17" s="31">
        <f>IFERROR('Historical FS'!K11-'Historical FS'!K14,0)</f>
        <v>5694</v>
      </c>
      <c r="L17" s="31">
        <f>IFERROR('Historical FS'!L11-'Historical FS'!L14,0)</f>
        <v>8357</v>
      </c>
      <c r="M17" s="31">
        <f>IFERROR(SUM('Data Sheet'!H50:K50),0)</f>
        <v>9416</v>
      </c>
    </row>
    <row r="18" spans="1:13" x14ac:dyDescent="0.35">
      <c r="B18" s="15" t="s">
        <v>73</v>
      </c>
      <c r="C18" s="13">
        <f>C17/C5</f>
        <v>8.7769770067182798E-2</v>
      </c>
      <c r="D18" s="13">
        <f t="shared" ref="D18:M18" si="5">D17/D5</f>
        <v>0.10199897393076955</v>
      </c>
      <c r="E18" s="13">
        <f t="shared" si="5"/>
        <v>0.10080582369156038</v>
      </c>
      <c r="F18" s="13">
        <f t="shared" si="5"/>
        <v>0.1169960098802964</v>
      </c>
      <c r="G18" s="13">
        <f t="shared" si="5"/>
        <v>7.9698761781556091E-2</v>
      </c>
      <c r="H18" s="13">
        <f t="shared" si="5"/>
        <v>0.11611514288690579</v>
      </c>
      <c r="I18" s="13">
        <f t="shared" si="5"/>
        <v>0.12032039433148491</v>
      </c>
      <c r="J18" s="13">
        <f t="shared" si="5"/>
        <v>0.10359408033826638</v>
      </c>
      <c r="K18" s="13">
        <f t="shared" si="5"/>
        <v>9.4184200079396582E-2</v>
      </c>
      <c r="L18" s="13">
        <f t="shared" si="5"/>
        <v>9.5416971136280601E-2</v>
      </c>
      <c r="M18" s="13">
        <f t="shared" si="5"/>
        <v>0.10188601664195981</v>
      </c>
    </row>
    <row r="20" spans="1:13" s="30" customFormat="1" x14ac:dyDescent="0.35">
      <c r="B20" s="30" t="s">
        <v>4</v>
      </c>
      <c r="C20" s="30">
        <f>IFERROR('Data Sheet'!B26,0)</f>
        <v>110.53</v>
      </c>
      <c r="D20" s="30">
        <f>IFERROR('Data Sheet'!C26,0)</f>
        <v>131.43</v>
      </c>
      <c r="E20" s="30">
        <f>IFERROR('Data Sheet'!D26,0)</f>
        <v>162.84</v>
      </c>
      <c r="F20" s="30">
        <f>IFERROR('Data Sheet'!E26,0)</f>
        <v>348</v>
      </c>
      <c r="G20" s="30">
        <f>IFERROR('Data Sheet'!F26,0)</f>
        <v>375</v>
      </c>
      <c r="H20" s="30">
        <f>IFERROR('Data Sheet'!G26,0)</f>
        <v>399</v>
      </c>
      <c r="I20" s="30">
        <f>IFERROR('Data Sheet'!H26,0)</f>
        <v>441</v>
      </c>
      <c r="J20" s="30">
        <f>IFERROR('Data Sheet'!I26,0)</f>
        <v>584</v>
      </c>
      <c r="K20" s="30">
        <f>IFERROR('Data Sheet'!J26,0)</f>
        <v>693</v>
      </c>
      <c r="L20" s="30">
        <f>IFERROR('Data Sheet'!K26,0)</f>
        <v>826</v>
      </c>
      <c r="M20" s="30">
        <f>IFERROR(SUM('Data Sheet'!H45:K45),0)</f>
        <v>898</v>
      </c>
    </row>
    <row r="21" spans="1:13" x14ac:dyDescent="0.35">
      <c r="B21" s="15" t="s">
        <v>121</v>
      </c>
      <c r="C21" s="13">
        <f>C20/C5</f>
        <v>8.3350740489094577E-3</v>
      </c>
      <c r="D21" s="13">
        <f t="shared" ref="D21:M21" si="6">D20/D5</f>
        <v>8.1533421382563153E-3</v>
      </c>
      <c r="E21" s="13">
        <f t="shared" si="6"/>
        <v>8.2331741707670752E-3</v>
      </c>
      <c r="F21" s="13">
        <f t="shared" si="6"/>
        <v>1.6530495914877447E-2</v>
      </c>
      <c r="G21" s="13">
        <f t="shared" si="6"/>
        <v>1.7325817778599151E-2</v>
      </c>
      <c r="H21" s="13">
        <f t="shared" si="6"/>
        <v>1.3854647730823988E-2</v>
      </c>
      <c r="I21" s="13">
        <f t="shared" si="6"/>
        <v>1.0868761552680222E-2</v>
      </c>
      <c r="J21" s="13">
        <f t="shared" si="6"/>
        <v>1.1432150967034689E-2</v>
      </c>
      <c r="K21" s="13">
        <f t="shared" si="6"/>
        <v>1.146288209606987E-2</v>
      </c>
      <c r="L21" s="13">
        <f t="shared" si="6"/>
        <v>9.4309462915601015E-3</v>
      </c>
      <c r="M21" s="13">
        <f t="shared" si="6"/>
        <v>9.7168269907051737E-3</v>
      </c>
    </row>
    <row r="23" spans="1:13" s="32" customFormat="1" x14ac:dyDescent="0.35">
      <c r="A23" s="31"/>
      <c r="B23" s="31" t="s">
        <v>66</v>
      </c>
      <c r="C23" s="31">
        <f>IFERROR(C17-C20,0)</f>
        <v>1053.3699999999997</v>
      </c>
      <c r="D23" s="31">
        <f t="shared" ref="D23:M23" si="7">IFERROR(D17-D20,0)</f>
        <v>1512.7700000000011</v>
      </c>
      <c r="E23" s="31">
        <f t="shared" si="7"/>
        <v>1830.950000000001</v>
      </c>
      <c r="F23" s="31">
        <f t="shared" si="7"/>
        <v>2115</v>
      </c>
      <c r="G23" s="31">
        <f t="shared" si="7"/>
        <v>1350</v>
      </c>
      <c r="H23" s="31">
        <f t="shared" si="7"/>
        <v>2945</v>
      </c>
      <c r="I23" s="31">
        <f t="shared" si="7"/>
        <v>4441</v>
      </c>
      <c r="J23" s="31">
        <f t="shared" si="7"/>
        <v>4708</v>
      </c>
      <c r="K23" s="31">
        <f t="shared" si="7"/>
        <v>5001</v>
      </c>
      <c r="L23" s="31">
        <f t="shared" si="7"/>
        <v>7531</v>
      </c>
      <c r="M23" s="31">
        <f t="shared" si="7"/>
        <v>8518</v>
      </c>
    </row>
    <row r="24" spans="1:13" x14ac:dyDescent="0.35">
      <c r="B24" s="15" t="s">
        <v>67</v>
      </c>
      <c r="C24" s="13">
        <f>C23/C5</f>
        <v>7.943469601827334E-2</v>
      </c>
      <c r="D24" s="13">
        <f t="shared" ref="D24:M24" si="8">D23/D5</f>
        <v>9.3845631792513234E-2</v>
      </c>
      <c r="E24" s="13">
        <f t="shared" si="8"/>
        <v>9.2572649520793304E-2</v>
      </c>
      <c r="F24" s="13">
        <f t="shared" si="8"/>
        <v>0.10046551396541896</v>
      </c>
      <c r="G24" s="13">
        <f t="shared" si="8"/>
        <v>6.237294400295694E-2</v>
      </c>
      <c r="H24" s="13">
        <f t="shared" si="8"/>
        <v>0.10226049515608181</v>
      </c>
      <c r="I24" s="13">
        <f t="shared" si="8"/>
        <v>0.10945163277880468</v>
      </c>
      <c r="J24" s="13">
        <f t="shared" si="8"/>
        <v>9.2161929371231702E-2</v>
      </c>
      <c r="K24" s="13">
        <f t="shared" si="8"/>
        <v>8.2721317983326714E-2</v>
      </c>
      <c r="L24" s="13">
        <f t="shared" si="8"/>
        <v>8.5986024844720496E-2</v>
      </c>
      <c r="M24" s="13">
        <f t="shared" si="8"/>
        <v>9.2169189651254646E-2</v>
      </c>
    </row>
    <row r="25" spans="1:13" x14ac:dyDescent="0.35">
      <c r="B25" s="15"/>
      <c r="C25" s="13"/>
      <c r="D25" s="13"/>
      <c r="E25" s="13"/>
      <c r="F25" s="13"/>
      <c r="G25" s="13"/>
      <c r="H25" s="13"/>
      <c r="I25" s="13"/>
      <c r="J25" s="13"/>
      <c r="K25" s="13"/>
      <c r="L25" s="13"/>
      <c r="M25" s="13"/>
    </row>
    <row r="26" spans="1:13" s="30" customFormat="1" x14ac:dyDescent="0.35">
      <c r="B26" s="30" t="s">
        <v>3</v>
      </c>
      <c r="C26" s="30">
        <f>IFERROR('Data Sheet'!B25,0)</f>
        <v>-42.38</v>
      </c>
      <c r="D26" s="30">
        <f>IFERROR('Data Sheet'!C25,0)</f>
        <v>69.930000000000007</v>
      </c>
      <c r="E26" s="30">
        <f>IFERROR('Data Sheet'!D25,0)</f>
        <v>178.48</v>
      </c>
      <c r="F26" s="30">
        <f>IFERROR('Data Sheet'!E25,0)</f>
        <v>153</v>
      </c>
      <c r="G26" s="30">
        <f>IFERROR('Data Sheet'!F25,0)</f>
        <v>180</v>
      </c>
      <c r="H26" s="30">
        <f>IFERROR('Data Sheet'!G25,0)</f>
        <v>177</v>
      </c>
      <c r="I26" s="30">
        <f>IFERROR('Data Sheet'!H25,0)</f>
        <v>306</v>
      </c>
      <c r="J26" s="30">
        <f>IFERROR('Data Sheet'!I25,0)</f>
        <v>534</v>
      </c>
      <c r="K26" s="30">
        <f>IFERROR('Data Sheet'!J25,0)</f>
        <v>487</v>
      </c>
      <c r="L26" s="30">
        <f>IFERROR('Data Sheet'!K25,0)</f>
        <v>450</v>
      </c>
      <c r="M26" s="30">
        <f>IFERROR(SUM('Data Sheet'!H44:K44),0)</f>
        <v>495</v>
      </c>
    </row>
    <row r="27" spans="1:13" x14ac:dyDescent="0.35">
      <c r="B27" s="15" t="s">
        <v>120</v>
      </c>
      <c r="C27" s="13">
        <f>C26/C5</f>
        <v>-3.1958783877027307E-3</v>
      </c>
      <c r="D27" s="13">
        <f t="shared" ref="D27:M27" si="9">D26/D5</f>
        <v>4.3381512267234587E-3</v>
      </c>
      <c r="E27" s="13">
        <f t="shared" si="9"/>
        <v>9.0239310120271889E-3</v>
      </c>
      <c r="F27" s="13">
        <f t="shared" si="9"/>
        <v>7.2677180315409463E-3</v>
      </c>
      <c r="G27" s="13">
        <f t="shared" si="9"/>
        <v>8.3163925337275922E-3</v>
      </c>
      <c r="H27" s="13">
        <f t="shared" si="9"/>
        <v>6.1460467377339491E-3</v>
      </c>
      <c r="I27" s="13">
        <f t="shared" si="9"/>
        <v>7.5415896487985214E-3</v>
      </c>
      <c r="J27" s="13">
        <f t="shared" si="9"/>
        <v>1.0453370918487198E-2</v>
      </c>
      <c r="K27" s="13">
        <f t="shared" si="9"/>
        <v>8.0554452825195178E-3</v>
      </c>
      <c r="L27" s="13">
        <f t="shared" si="9"/>
        <v>5.1379247351114356E-3</v>
      </c>
      <c r="M27" s="13">
        <f t="shared" si="9"/>
        <v>5.3561574169254571E-3</v>
      </c>
    </row>
    <row r="29" spans="1:13" s="30" customFormat="1" x14ac:dyDescent="0.35">
      <c r="B29" s="30" t="s">
        <v>5</v>
      </c>
      <c r="C29" s="30">
        <f>IFERROR('Data Sheet'!B27,0)</f>
        <v>37.74</v>
      </c>
      <c r="D29" s="30">
        <f>IFERROR('Data Sheet'!C27,0)</f>
        <v>52.92</v>
      </c>
      <c r="E29" s="30">
        <f>IFERROR('Data Sheet'!D27,0)</f>
        <v>52.54</v>
      </c>
      <c r="F29" s="30">
        <f>IFERROR('Data Sheet'!E27,0)</f>
        <v>166</v>
      </c>
      <c r="G29" s="30">
        <f>IFERROR('Data Sheet'!F27,0)</f>
        <v>203</v>
      </c>
      <c r="H29" s="30">
        <f>IFERROR('Data Sheet'!G27,0)</f>
        <v>218</v>
      </c>
      <c r="I29" s="30">
        <f>IFERROR('Data Sheet'!H27,0)</f>
        <v>300</v>
      </c>
      <c r="J29" s="30">
        <f>IFERROR('Data Sheet'!I27,0)</f>
        <v>619</v>
      </c>
      <c r="K29" s="30">
        <f>IFERROR('Data Sheet'!J27,0)</f>
        <v>953</v>
      </c>
      <c r="L29" s="30">
        <f>IFERROR('Data Sheet'!K27,0)</f>
        <v>1180</v>
      </c>
      <c r="M29" s="30">
        <f>IFERROR(SUM('Data Sheet'!H46:K46),0)</f>
        <v>1262</v>
      </c>
    </row>
    <row r="30" spans="1:13" x14ac:dyDescent="0.35">
      <c r="B30" s="15" t="s">
        <v>122</v>
      </c>
      <c r="C30" s="13">
        <f>C29/C5</f>
        <v>2.845975704386528E-3</v>
      </c>
      <c r="D30" s="13">
        <f t="shared" ref="D30:M30" si="10">D29/D5</f>
        <v>3.2829252526555899E-3</v>
      </c>
      <c r="E30" s="13">
        <f t="shared" si="10"/>
        <v>2.6564171636704868E-3</v>
      </c>
      <c r="F30" s="13">
        <f t="shared" si="10"/>
        <v>7.8852365570967128E-3</v>
      </c>
      <c r="G30" s="13">
        <f t="shared" si="10"/>
        <v>9.3790426908150065E-3</v>
      </c>
      <c r="H30" s="13">
        <f t="shared" si="10"/>
        <v>7.5697072815028299E-3</v>
      </c>
      <c r="I30" s="13">
        <f t="shared" si="10"/>
        <v>7.3937153419593345E-3</v>
      </c>
      <c r="J30" s="13">
        <f t="shared" si="10"/>
        <v>1.2117297001017931E-2</v>
      </c>
      <c r="K30" s="13">
        <f t="shared" si="10"/>
        <v>1.5763530501521766E-2</v>
      </c>
      <c r="L30" s="13">
        <f t="shared" si="10"/>
        <v>1.3472780416514432E-2</v>
      </c>
      <c r="M30" s="13">
        <f t="shared" si="10"/>
        <v>1.3655496283151368E-2</v>
      </c>
    </row>
    <row r="32" spans="1:13" s="32" customFormat="1" x14ac:dyDescent="0.35">
      <c r="A32" s="31"/>
      <c r="B32" s="31" t="s">
        <v>70</v>
      </c>
      <c r="C32" s="31">
        <f>C23+C26-C29</f>
        <v>973.24999999999966</v>
      </c>
      <c r="D32" s="31">
        <f t="shared" ref="D32:M32" si="11">D23+D26-D29</f>
        <v>1529.7800000000011</v>
      </c>
      <c r="E32" s="31">
        <f t="shared" si="11"/>
        <v>1956.890000000001</v>
      </c>
      <c r="F32" s="31">
        <f t="shared" si="11"/>
        <v>2102</v>
      </c>
      <c r="G32" s="31">
        <f t="shared" si="11"/>
        <v>1327</v>
      </c>
      <c r="H32" s="31">
        <f t="shared" si="11"/>
        <v>2904</v>
      </c>
      <c r="I32" s="31">
        <f t="shared" si="11"/>
        <v>4447</v>
      </c>
      <c r="J32" s="31">
        <f t="shared" si="11"/>
        <v>4623</v>
      </c>
      <c r="K32" s="31">
        <f t="shared" si="11"/>
        <v>4535</v>
      </c>
      <c r="L32" s="31">
        <f t="shared" si="11"/>
        <v>6801</v>
      </c>
      <c r="M32" s="31">
        <f t="shared" si="11"/>
        <v>7751</v>
      </c>
    </row>
    <row r="33" spans="1:13" x14ac:dyDescent="0.35">
      <c r="B33" s="15" t="s">
        <v>123</v>
      </c>
      <c r="C33" s="13">
        <f>C32/C5</f>
        <v>7.3392841926184088E-2</v>
      </c>
      <c r="D33" s="13">
        <f t="shared" ref="D33:M33" si="12">D32/D5</f>
        <v>9.4900857766581109E-2</v>
      </c>
      <c r="E33" s="13">
        <f t="shared" si="12"/>
        <v>9.8940163369150014E-2</v>
      </c>
      <c r="F33" s="13">
        <f t="shared" si="12"/>
        <v>9.9847995439863196E-2</v>
      </c>
      <c r="G33" s="13">
        <f t="shared" si="12"/>
        <v>6.1310293845869522E-2</v>
      </c>
      <c r="H33" s="13">
        <f t="shared" si="12"/>
        <v>0.10083683461231292</v>
      </c>
      <c r="I33" s="13">
        <f t="shared" si="12"/>
        <v>0.10959950708564387</v>
      </c>
      <c r="J33" s="13">
        <f t="shared" si="12"/>
        <v>9.0498003288700959E-2</v>
      </c>
      <c r="K33" s="13">
        <f t="shared" si="12"/>
        <v>7.5013232764324464E-2</v>
      </c>
      <c r="L33" s="13">
        <f t="shared" si="12"/>
        <v>7.7651169163317504E-2</v>
      </c>
      <c r="M33" s="13">
        <f t="shared" si="12"/>
        <v>8.3869850785028732E-2</v>
      </c>
    </row>
    <row r="35" spans="1:13" s="30" customFormat="1" x14ac:dyDescent="0.35">
      <c r="B35" s="30" t="s">
        <v>7</v>
      </c>
      <c r="C35" s="30">
        <f>IFERROR('Data Sheet'!B29,0)</f>
        <v>275.97000000000003</v>
      </c>
      <c r="D35" s="30">
        <f>IFERROR('Data Sheet'!C29,0)</f>
        <v>427.87</v>
      </c>
      <c r="E35" s="30">
        <f>IFERROR('Data Sheet'!D29,0)</f>
        <v>568.24</v>
      </c>
      <c r="F35" s="30">
        <f>IFERROR('Data Sheet'!E29,0)</f>
        <v>609</v>
      </c>
      <c r="G35" s="30">
        <f>IFERROR('Data Sheet'!F29,0)</f>
        <v>353</v>
      </c>
      <c r="H35" s="30">
        <f>IFERROR('Data Sheet'!G29,0)</f>
        <v>706</v>
      </c>
      <c r="I35" s="30">
        <f>IFERROR('Data Sheet'!H29,0)</f>
        <v>1173</v>
      </c>
      <c r="J35" s="30">
        <f>IFERROR('Data Sheet'!I29,0)</f>
        <v>1127</v>
      </c>
      <c r="K35" s="30">
        <f>IFERROR('Data Sheet'!J29,0)</f>
        <v>1198</v>
      </c>
      <c r="L35" s="30">
        <f>IFERROR('Data Sheet'!K29,0)</f>
        <v>1728</v>
      </c>
      <c r="M35" s="30">
        <f>IFERROR(SUM('Data Sheet'!H48:K48),0)</f>
        <v>1991</v>
      </c>
    </row>
    <row r="36" spans="1:13" x14ac:dyDescent="0.35">
      <c r="B36" s="15" t="s">
        <v>71</v>
      </c>
      <c r="C36" s="13">
        <f>C35/C32</f>
        <v>0.28355509889545349</v>
      </c>
      <c r="D36" s="13">
        <f t="shared" ref="D36:M36" si="13">D35/D32</f>
        <v>0.27969381218214362</v>
      </c>
      <c r="E36" s="13">
        <f t="shared" si="13"/>
        <v>0.29037912197415272</v>
      </c>
      <c r="F36" s="13">
        <f t="shared" si="13"/>
        <v>0.28972407231208375</v>
      </c>
      <c r="G36" s="13">
        <f t="shared" si="13"/>
        <v>0.26601356443104746</v>
      </c>
      <c r="H36" s="13">
        <f t="shared" si="13"/>
        <v>0.24311294765840222</v>
      </c>
      <c r="I36" s="13">
        <f t="shared" si="13"/>
        <v>0.26377333033505734</v>
      </c>
      <c r="J36" s="13">
        <f t="shared" si="13"/>
        <v>0.24378109452736318</v>
      </c>
      <c r="K36" s="13">
        <f t="shared" si="13"/>
        <v>0.26416758544652702</v>
      </c>
      <c r="L36" s="13">
        <f t="shared" si="13"/>
        <v>0.25408028231142477</v>
      </c>
      <c r="M36" s="13">
        <f t="shared" si="13"/>
        <v>0.25687008127983485</v>
      </c>
    </row>
    <row r="37" spans="1:13" x14ac:dyDescent="0.35">
      <c r="B37" s="15" t="s">
        <v>199</v>
      </c>
      <c r="C37" s="102">
        <f>C39-(C32-C35)</f>
        <v>14.190000000000396</v>
      </c>
      <c r="D37" s="102">
        <f t="shared" ref="D37:M37" si="14">D39-(D32-D35)</f>
        <v>28.179999999998699</v>
      </c>
      <c r="E37" s="102">
        <f t="shared" si="14"/>
        <v>15.499999999999091</v>
      </c>
      <c r="F37" s="102">
        <f t="shared" si="14"/>
        <v>8</v>
      </c>
      <c r="G37" s="102">
        <f t="shared" si="14"/>
        <v>-1</v>
      </c>
      <c r="H37" s="102">
        <f t="shared" si="14"/>
        <v>-25</v>
      </c>
      <c r="I37" s="102">
        <f t="shared" si="14"/>
        <v>-24</v>
      </c>
      <c r="J37" s="102">
        <f t="shared" si="14"/>
        <v>0</v>
      </c>
      <c r="K37" s="102">
        <f t="shared" si="14"/>
        <v>0</v>
      </c>
      <c r="L37" s="102">
        <f t="shared" si="14"/>
        <v>0</v>
      </c>
      <c r="M37" s="102">
        <f t="shared" si="14"/>
        <v>0</v>
      </c>
    </row>
    <row r="39" spans="1:13" s="32" customFormat="1" x14ac:dyDescent="0.35">
      <c r="A39" s="31"/>
      <c r="B39" s="31" t="s">
        <v>69</v>
      </c>
      <c r="C39" s="31">
        <f>IFERROR('Data Sheet'!B30,0)</f>
        <v>711.47</v>
      </c>
      <c r="D39" s="31">
        <f>IFERROR('Data Sheet'!C30,0)</f>
        <v>1130.0899999999999</v>
      </c>
      <c r="E39" s="31">
        <f>IFERROR('Data Sheet'!D30,0)</f>
        <v>1404.15</v>
      </c>
      <c r="F39" s="31">
        <f>IFERROR('Data Sheet'!E30,0)</f>
        <v>1501</v>
      </c>
      <c r="G39" s="31">
        <f>IFERROR('Data Sheet'!F30,0)</f>
        <v>973</v>
      </c>
      <c r="H39" s="31">
        <f>IFERROR('Data Sheet'!G30,0)</f>
        <v>2173</v>
      </c>
      <c r="I39" s="31">
        <f>IFERROR('Data Sheet'!H30,0)</f>
        <v>3250</v>
      </c>
      <c r="J39" s="31">
        <f>IFERROR('Data Sheet'!I30,0)</f>
        <v>3496</v>
      </c>
      <c r="K39" s="31">
        <f>IFERROR('Data Sheet'!J30,0)</f>
        <v>3337</v>
      </c>
      <c r="L39" s="31">
        <f>IFERROR('Data Sheet'!K30,0)</f>
        <v>5073</v>
      </c>
      <c r="M39" s="31">
        <f>IFERROR(M32-M35,0)</f>
        <v>5760</v>
      </c>
    </row>
    <row r="40" spans="1:13" x14ac:dyDescent="0.35">
      <c r="B40" s="15" t="s">
        <v>72</v>
      </c>
      <c r="C40" s="13">
        <f>C39/C5</f>
        <v>5.3651996142021277E-2</v>
      </c>
      <c r="D40" s="13">
        <f t="shared" ref="D40:M40" si="15">D39/D5</f>
        <v>7.010583897909213E-2</v>
      </c>
      <c r="E40" s="13">
        <f t="shared" si="15"/>
        <v>7.0993684057249984E-2</v>
      </c>
      <c r="F40" s="13">
        <f t="shared" si="15"/>
        <v>7.1299638989169675E-2</v>
      </c>
      <c r="G40" s="13">
        <f t="shared" si="15"/>
        <v>4.495472186287193E-2</v>
      </c>
      <c r="H40" s="13">
        <f t="shared" si="15"/>
        <v>7.5454008819750687E-2</v>
      </c>
      <c r="I40" s="13">
        <f t="shared" si="15"/>
        <v>8.0098582871226121E-2</v>
      </c>
      <c r="J40" s="13">
        <f t="shared" si="15"/>
        <v>6.8436300994440535E-2</v>
      </c>
      <c r="K40" s="13">
        <f t="shared" si="15"/>
        <v>5.5197168188434564E-2</v>
      </c>
      <c r="L40" s="13">
        <f t="shared" si="15"/>
        <v>5.792153818048959E-2</v>
      </c>
      <c r="M40" s="13">
        <f t="shared" si="15"/>
        <v>6.2326195396950779E-2</v>
      </c>
    </row>
    <row r="42" spans="1:13" s="30" customFormat="1" x14ac:dyDescent="0.35">
      <c r="B42" s="30" t="s">
        <v>40</v>
      </c>
      <c r="C42" s="30">
        <f>IFERROR('Data Sheet'!B93,0)</f>
        <v>88.78</v>
      </c>
      <c r="D42" s="30">
        <f>IFERROR('Data Sheet'!C93,0)</f>
        <v>88.78</v>
      </c>
      <c r="E42" s="30">
        <f>IFERROR('Data Sheet'!D93,0)</f>
        <v>88.78</v>
      </c>
      <c r="F42" s="30">
        <f>IFERROR('Data Sheet'!E93,0)</f>
        <v>88.78</v>
      </c>
      <c r="G42" s="30">
        <f>IFERROR('Data Sheet'!F93,0)</f>
        <v>88.78</v>
      </c>
      <c r="H42" s="30">
        <f>IFERROR('Data Sheet'!G93,0)</f>
        <v>88.78</v>
      </c>
      <c r="I42" s="103">
        <f>IFERROR('Data Sheet'!H93,0)</f>
        <v>89</v>
      </c>
      <c r="J42" s="30">
        <f>IFERROR('Data Sheet'!I93,0)</f>
        <v>89</v>
      </c>
      <c r="K42" s="30">
        <f>IFERROR('Data Sheet'!J93,0)</f>
        <v>89</v>
      </c>
      <c r="L42" s="30">
        <f>IFERROR('Data Sheet'!K93,0)</f>
        <v>89</v>
      </c>
      <c r="M42" s="30">
        <f>IFERROR('Data Sheet'!K93,0)</f>
        <v>89</v>
      </c>
    </row>
    <row r="44" spans="1:13" s="30" customFormat="1" x14ac:dyDescent="0.35">
      <c r="B44" s="30" t="s">
        <v>74</v>
      </c>
      <c r="C44" s="30">
        <f>C39/C42</f>
        <v>8.0138544717278677</v>
      </c>
      <c r="D44" s="30">
        <f t="shared" ref="D44:M44" si="16">D39/D42</f>
        <v>12.729105654426672</v>
      </c>
      <c r="E44" s="30">
        <f t="shared" si="16"/>
        <v>15.816062176165804</v>
      </c>
      <c r="F44" s="30">
        <f t="shared" si="16"/>
        <v>16.90696102725839</v>
      </c>
      <c r="G44" s="30">
        <f t="shared" si="16"/>
        <v>10.959675602613201</v>
      </c>
      <c r="H44" s="30">
        <f t="shared" si="16"/>
        <v>24.476233385897725</v>
      </c>
      <c r="I44" s="30">
        <f t="shared" si="16"/>
        <v>36.516853932584269</v>
      </c>
      <c r="J44" s="30">
        <f t="shared" si="16"/>
        <v>39.280898876404493</v>
      </c>
      <c r="K44" s="30">
        <f t="shared" si="16"/>
        <v>37.49438202247191</v>
      </c>
      <c r="L44" s="30">
        <f t="shared" si="16"/>
        <v>57</v>
      </c>
      <c r="M44" s="30">
        <f t="shared" si="16"/>
        <v>64.719101123595507</v>
      </c>
    </row>
    <row r="45" spans="1:13" s="33" customFormat="1" x14ac:dyDescent="0.35">
      <c r="A45" s="15"/>
      <c r="B45" s="15" t="s">
        <v>76</v>
      </c>
      <c r="C45" s="13"/>
      <c r="D45" s="13">
        <f>D44/C44-1</f>
        <v>0.58838742322234205</v>
      </c>
      <c r="E45" s="13">
        <f t="shared" ref="E45:M45" si="17">E44/D44-1</f>
        <v>0.24251165836349342</v>
      </c>
      <c r="F45" s="13">
        <f t="shared" si="17"/>
        <v>6.897411245237306E-2</v>
      </c>
      <c r="G45" s="13">
        <f t="shared" si="17"/>
        <v>-0.35176548967355092</v>
      </c>
      <c r="H45" s="13">
        <f t="shared" si="17"/>
        <v>1.2332990750256938</v>
      </c>
      <c r="I45" s="13">
        <f t="shared" si="17"/>
        <v>0.4919311054463098</v>
      </c>
      <c r="J45" s="13">
        <f t="shared" si="17"/>
        <v>7.5692307692307725E-2</v>
      </c>
      <c r="K45" s="13">
        <f t="shared" si="17"/>
        <v>-4.5480549199084619E-2</v>
      </c>
      <c r="L45" s="13">
        <f t="shared" si="17"/>
        <v>0.52022774947557693</v>
      </c>
      <c r="M45" s="13">
        <f t="shared" si="17"/>
        <v>0.1354228267297457</v>
      </c>
    </row>
    <row r="47" spans="1:13" s="30" customFormat="1" x14ac:dyDescent="0.35">
      <c r="B47" s="30" t="s">
        <v>75</v>
      </c>
      <c r="C47" s="30">
        <f>IFERROR('Data Sheet'!B31/'Historical FS'!C42,0)</f>
        <v>2.6000225275963054</v>
      </c>
      <c r="D47" s="30">
        <f>IFERROR('Data Sheet'!C31/'Historical FS'!D42,0)</f>
        <v>3.7499436810092366</v>
      </c>
      <c r="E47" s="30">
        <f>IFERROR('Data Sheet'!D31/'Historical FS'!E42,0)</f>
        <v>5</v>
      </c>
      <c r="F47" s="30">
        <f>IFERROR('Data Sheet'!E31/'Historical FS'!F42,0)</f>
        <v>4.0099121423744082</v>
      </c>
      <c r="G47" s="30">
        <f>IFERROR('Data Sheet'!F31/'Historical FS'!G42,0)</f>
        <v>4.0099121423744082</v>
      </c>
      <c r="H47" s="30">
        <f>IFERROR('Data Sheet'!G31/'Historical FS'!H42,0)</f>
        <v>7.5185852669520159</v>
      </c>
      <c r="I47" s="30">
        <f>IFERROR('Data Sheet'!H31/'Historical FS'!I42,0)</f>
        <v>10</v>
      </c>
      <c r="J47" s="30">
        <f>IFERROR('Data Sheet'!I31/'Historical FS'!J42,0)</f>
        <v>11</v>
      </c>
      <c r="K47" s="30">
        <f>IFERROR('Data Sheet'!J31/'Historical FS'!K42,0)</f>
        <v>11</v>
      </c>
      <c r="L47" s="30">
        <f>IFERROR('Data Sheet'!K31/'Historical FS'!L42,0)</f>
        <v>15</v>
      </c>
    </row>
    <row r="48" spans="1:13" s="34" customFormat="1" x14ac:dyDescent="0.35">
      <c r="A48" s="13"/>
      <c r="B48" s="15" t="s">
        <v>77</v>
      </c>
      <c r="C48" s="13">
        <f>C47/C44</f>
        <v>0.32444094620995961</v>
      </c>
      <c r="D48" s="13">
        <f t="shared" ref="D48:L48" si="18">D47/D44</f>
        <v>0.29459600562787042</v>
      </c>
      <c r="E48" s="13">
        <f t="shared" si="18"/>
        <v>0.31613431613431608</v>
      </c>
      <c r="F48" s="13">
        <f t="shared" si="18"/>
        <v>0.23717521652231843</v>
      </c>
      <c r="G48" s="13">
        <f t="shared" si="18"/>
        <v>0.36587872559095574</v>
      </c>
      <c r="H48" s="13">
        <f t="shared" si="18"/>
        <v>0.30717901518637825</v>
      </c>
      <c r="I48" s="13">
        <f t="shared" si="18"/>
        <v>0.27384615384615385</v>
      </c>
      <c r="J48" s="13">
        <f t="shared" si="18"/>
        <v>0.28003432494279179</v>
      </c>
      <c r="K48" s="13">
        <f t="shared" si="18"/>
        <v>0.29337728498651483</v>
      </c>
      <c r="L48" s="13">
        <f t="shared" si="18"/>
        <v>0.26315789473684209</v>
      </c>
      <c r="M48" s="13"/>
    </row>
    <row r="50" spans="1:14" s="14" customFormat="1" x14ac:dyDescent="0.35">
      <c r="B50" s="14" t="s">
        <v>78</v>
      </c>
      <c r="C50" s="13">
        <f>IFERROR(IF(C44&gt;C47,1-C48,0),0)</f>
        <v>0.67555905379004044</v>
      </c>
      <c r="D50" s="13">
        <f t="shared" ref="D50:L50" si="19">IFERROR(IF(D44&gt;D47,1-D48,0),0)</f>
        <v>0.70540399437212953</v>
      </c>
      <c r="E50" s="13">
        <f t="shared" si="19"/>
        <v>0.68386568386568392</v>
      </c>
      <c r="F50" s="13">
        <f t="shared" si="19"/>
        <v>0.76282478347768157</v>
      </c>
      <c r="G50" s="13">
        <f t="shared" si="19"/>
        <v>0.63412127440904431</v>
      </c>
      <c r="H50" s="13">
        <f t="shared" si="19"/>
        <v>0.69282098481362175</v>
      </c>
      <c r="I50" s="13">
        <f t="shared" si="19"/>
        <v>0.72615384615384615</v>
      </c>
      <c r="J50" s="13">
        <f t="shared" si="19"/>
        <v>0.71996567505720821</v>
      </c>
      <c r="K50" s="13">
        <f t="shared" si="19"/>
        <v>0.70662271501348517</v>
      </c>
      <c r="L50" s="13">
        <f t="shared" si="19"/>
        <v>0.73684210526315796</v>
      </c>
      <c r="M50" s="13"/>
      <c r="N50" s="34"/>
    </row>
    <row r="51" spans="1:14" x14ac:dyDescent="0.35">
      <c r="C51" t="s">
        <v>68</v>
      </c>
    </row>
    <row r="52" spans="1:14" s="19" customFormat="1" x14ac:dyDescent="0.35">
      <c r="A52" s="19" t="s">
        <v>23</v>
      </c>
      <c r="B52" s="19" t="s">
        <v>79</v>
      </c>
    </row>
    <row r="53" spans="1:14" s="14" customFormat="1" x14ac:dyDescent="0.35">
      <c r="B53" s="14" t="s">
        <v>10</v>
      </c>
      <c r="C53" s="9">
        <f>IFERROR('Data Sheet'!B57,0)</f>
        <v>88.78</v>
      </c>
      <c r="D53" s="9">
        <f>IFERROR('Data Sheet'!C57,0)</f>
        <v>88.78</v>
      </c>
      <c r="E53" s="9">
        <f>IFERROR('Data Sheet'!D57,0)</f>
        <v>88.78</v>
      </c>
      <c r="F53" s="9">
        <f>IFERROR('Data Sheet'!E57,0)</f>
        <v>89</v>
      </c>
      <c r="G53" s="9">
        <f>IFERROR('Data Sheet'!F57,0)</f>
        <v>89</v>
      </c>
      <c r="H53" s="9">
        <f>IFERROR('Data Sheet'!G57,0)</f>
        <v>89</v>
      </c>
      <c r="I53" s="9">
        <f>IFERROR('Data Sheet'!H57,0)</f>
        <v>89</v>
      </c>
      <c r="J53" s="9">
        <f>IFERROR('Data Sheet'!I57,0)</f>
        <v>89</v>
      </c>
      <c r="K53" s="9">
        <f>IFERROR('Data Sheet'!J57,0)</f>
        <v>89</v>
      </c>
      <c r="L53" s="9">
        <f>IFERROR('Data Sheet'!K57,0)</f>
        <v>89</v>
      </c>
    </row>
    <row r="54" spans="1:14" s="14" customFormat="1" x14ac:dyDescent="0.35">
      <c r="B54" s="14" t="s">
        <v>11</v>
      </c>
      <c r="C54" s="9">
        <f>IFERROR('Data Sheet'!B58,0)</f>
        <v>4143.6000000000004</v>
      </c>
      <c r="D54" s="9">
        <f>IFERROR('Data Sheet'!C58,0)</f>
        <v>5001.1000000000004</v>
      </c>
      <c r="E54" s="9">
        <f>IFERROR('Data Sheet'!D58,0)</f>
        <v>5981.37</v>
      </c>
      <c r="F54" s="9">
        <f>IFERROR('Data Sheet'!E58,0)</f>
        <v>6580</v>
      </c>
      <c r="G54" s="9">
        <f>IFERROR('Data Sheet'!F58,0)</f>
        <v>7408</v>
      </c>
      <c r="H54" s="9">
        <f>IFERROR('Data Sheet'!G58,0)</f>
        <v>9214</v>
      </c>
      <c r="I54" s="9">
        <f>IFERROR('Data Sheet'!H58,0)</f>
        <v>11762</v>
      </c>
      <c r="J54" s="9">
        <f>IFERROR('Data Sheet'!I58,0)</f>
        <v>9304</v>
      </c>
      <c r="K54" s="9">
        <f>IFERROR('Data Sheet'!J58,0)</f>
        <v>11535</v>
      </c>
      <c r="L54" s="9">
        <f>IFERROR('Data Sheet'!K58,0)</f>
        <v>15614</v>
      </c>
    </row>
    <row r="55" spans="1:14" s="14" customFormat="1" x14ac:dyDescent="0.35">
      <c r="B55" s="14" t="s">
        <v>12</v>
      </c>
      <c r="C55" s="9">
        <f>IFERROR('Data Sheet'!B59,0)</f>
        <v>1882.43</v>
      </c>
      <c r="D55" s="9">
        <f>IFERROR('Data Sheet'!C59,0)</f>
        <v>1691.01</v>
      </c>
      <c r="E55" s="9">
        <f>IFERROR('Data Sheet'!D59,0)</f>
        <v>2392.98</v>
      </c>
      <c r="F55" s="9">
        <f>IFERROR('Data Sheet'!E59,0)</f>
        <v>3562</v>
      </c>
      <c r="G55" s="9">
        <f>IFERROR('Data Sheet'!F59,0)</f>
        <v>5638</v>
      </c>
      <c r="H55" s="9">
        <f>IFERROR('Data Sheet'!G59,0)</f>
        <v>7275</v>
      </c>
      <c r="I55" s="9">
        <f>IFERROR('Data Sheet'!H59,0)</f>
        <v>9367</v>
      </c>
      <c r="J55" s="9">
        <f>IFERROR('Data Sheet'!I59,0)</f>
        <v>15528</v>
      </c>
      <c r="K55" s="9">
        <f>IFERROR('Data Sheet'!J59,0)</f>
        <v>20777</v>
      </c>
      <c r="L55" s="9">
        <f>IFERROR('Data Sheet'!K59,0)</f>
        <v>30621</v>
      </c>
    </row>
    <row r="56" spans="1:14" s="14" customFormat="1" x14ac:dyDescent="0.35">
      <c r="B56" s="14" t="s">
        <v>13</v>
      </c>
      <c r="C56" s="9">
        <f>IFERROR('Data Sheet'!B60,0)</f>
        <v>2292.7600000000002</v>
      </c>
      <c r="D56" s="9">
        <f>IFERROR('Data Sheet'!C60,0)</f>
        <v>2740.15</v>
      </c>
      <c r="E56" s="9">
        <f>IFERROR('Data Sheet'!D60,0)</f>
        <v>3246.71</v>
      </c>
      <c r="F56" s="9">
        <f>IFERROR('Data Sheet'!E60,0)</f>
        <v>3313</v>
      </c>
      <c r="G56" s="9">
        <f>IFERROR('Data Sheet'!F60,0)</f>
        <v>3309</v>
      </c>
      <c r="H56" s="9">
        <f>IFERROR('Data Sheet'!G60,0)</f>
        <v>4610</v>
      </c>
      <c r="I56" s="9">
        <f>IFERROR('Data Sheet'!H60,0)</f>
        <v>5802</v>
      </c>
      <c r="J56" s="9">
        <f>IFERROR('Data Sheet'!I60,0)</f>
        <v>6626</v>
      </c>
      <c r="K56" s="9">
        <f>IFERROR('Data Sheet'!J60,0)</f>
        <v>8244</v>
      </c>
      <c r="L56" s="9">
        <f>IFERROR('Data Sheet'!K60,0)</f>
        <v>14237</v>
      </c>
    </row>
    <row r="57" spans="1:14" s="23" customFormat="1" x14ac:dyDescent="0.35">
      <c r="B57" s="21" t="s">
        <v>80</v>
      </c>
      <c r="C57" s="25">
        <f>IFERROR(SUM(C53:C56),0)</f>
        <v>8407.57</v>
      </c>
      <c r="D57" s="25">
        <f t="shared" ref="D57:L57" si="20">IFERROR(SUM(D53:D56),0)</f>
        <v>9521.0400000000009</v>
      </c>
      <c r="E57" s="25">
        <f t="shared" si="20"/>
        <v>11709.84</v>
      </c>
      <c r="F57" s="25">
        <f t="shared" si="20"/>
        <v>13544</v>
      </c>
      <c r="G57" s="25">
        <f t="shared" si="20"/>
        <v>16444</v>
      </c>
      <c r="H57" s="25">
        <f t="shared" si="20"/>
        <v>21188</v>
      </c>
      <c r="I57" s="25">
        <f t="shared" si="20"/>
        <v>27020</v>
      </c>
      <c r="J57" s="25">
        <f t="shared" si="20"/>
        <v>31547</v>
      </c>
      <c r="K57" s="25">
        <f t="shared" si="20"/>
        <v>40645</v>
      </c>
      <c r="L57" s="25">
        <f t="shared" si="20"/>
        <v>60561</v>
      </c>
    </row>
    <row r="58" spans="1:14" x14ac:dyDescent="0.35">
      <c r="C58" s="9"/>
      <c r="D58" s="9"/>
      <c r="E58" s="9"/>
      <c r="F58" s="9"/>
      <c r="G58" s="9"/>
      <c r="H58" s="9"/>
      <c r="I58" s="9"/>
      <c r="J58" s="9"/>
      <c r="K58" s="9"/>
      <c r="L58" s="9"/>
    </row>
    <row r="59" spans="1:14" x14ac:dyDescent="0.35">
      <c r="B59" s="3" t="s">
        <v>15</v>
      </c>
      <c r="C59" s="9">
        <f>IFERROR('Data Sheet'!B62,0)</f>
        <v>1188.72</v>
      </c>
      <c r="D59" s="9">
        <f>IFERROR('Data Sheet'!C62,0)</f>
        <v>1473.81</v>
      </c>
      <c r="E59" s="9">
        <f>IFERROR('Data Sheet'!D62,0)</f>
        <v>1566.63</v>
      </c>
      <c r="F59" s="9">
        <f>IFERROR('Data Sheet'!E62,0)</f>
        <v>2633</v>
      </c>
      <c r="G59" s="9">
        <f>IFERROR('Data Sheet'!F62,0)</f>
        <v>2523</v>
      </c>
      <c r="H59" s="9">
        <f>IFERROR('Data Sheet'!G62,0)</f>
        <v>2544</v>
      </c>
      <c r="I59" s="9">
        <f>IFERROR('Data Sheet'!H62,0)</f>
        <v>2998</v>
      </c>
      <c r="J59" s="9">
        <f>IFERROR('Data Sheet'!I62,0)</f>
        <v>3709</v>
      </c>
      <c r="K59" s="9">
        <f>IFERROR('Data Sheet'!J62,0)</f>
        <v>4062</v>
      </c>
      <c r="L59" s="9">
        <f>IFERROR('Data Sheet'!K62,0)</f>
        <v>6878</v>
      </c>
      <c r="M59" s="14"/>
    </row>
    <row r="60" spans="1:14" x14ac:dyDescent="0.35">
      <c r="B60" s="3" t="s">
        <v>16</v>
      </c>
      <c r="C60" s="9">
        <f>IFERROR('Data Sheet'!B63,0)</f>
        <v>152.07</v>
      </c>
      <c r="D60" s="9">
        <f>IFERROR('Data Sheet'!C63,0)</f>
        <v>43.37</v>
      </c>
      <c r="E60" s="9">
        <f>IFERROR('Data Sheet'!D63,0)</f>
        <v>31.77</v>
      </c>
      <c r="F60" s="9">
        <f>IFERROR('Data Sheet'!E63,0)</f>
        <v>18</v>
      </c>
      <c r="G60" s="9">
        <f>IFERROR('Data Sheet'!F63,0)</f>
        <v>32</v>
      </c>
      <c r="H60" s="9">
        <f>IFERROR('Data Sheet'!G63,0)</f>
        <v>85</v>
      </c>
      <c r="I60" s="9">
        <f>IFERROR('Data Sheet'!H63,0)</f>
        <v>144</v>
      </c>
      <c r="J60" s="9">
        <f>IFERROR('Data Sheet'!I63,0)</f>
        <v>97</v>
      </c>
      <c r="K60" s="9">
        <f>IFERROR('Data Sheet'!J63,0)</f>
        <v>105</v>
      </c>
      <c r="L60" s="9">
        <f>IFERROR('Data Sheet'!K63,0)</f>
        <v>163</v>
      </c>
      <c r="M60" s="14"/>
    </row>
    <row r="61" spans="1:14" x14ac:dyDescent="0.35">
      <c r="B61" s="3" t="s">
        <v>17</v>
      </c>
      <c r="C61" s="9">
        <f>IFERROR('Data Sheet'!B64,0)</f>
        <v>430.73</v>
      </c>
      <c r="D61" s="9">
        <f>IFERROR('Data Sheet'!C64,0)</f>
        <v>35.99</v>
      </c>
      <c r="E61" s="9">
        <f>IFERROR('Data Sheet'!D64,0)</f>
        <v>108.42</v>
      </c>
      <c r="F61" s="9">
        <f>IFERROR('Data Sheet'!E64,0)</f>
        <v>158</v>
      </c>
      <c r="G61" s="9">
        <f>IFERROR('Data Sheet'!F64,0)</f>
        <v>2824</v>
      </c>
      <c r="H61" s="9">
        <f>IFERROR('Data Sheet'!G64,0)</f>
        <v>294</v>
      </c>
      <c r="I61" s="9">
        <f>IFERROR('Data Sheet'!H64,0)</f>
        <v>2515</v>
      </c>
      <c r="J61" s="9">
        <f>IFERROR('Data Sheet'!I64,0)</f>
        <v>2345</v>
      </c>
      <c r="K61" s="9">
        <f>IFERROR('Data Sheet'!J64,0)</f>
        <v>1988</v>
      </c>
      <c r="L61" s="9">
        <f>IFERROR('Data Sheet'!K64,0)</f>
        <v>3506</v>
      </c>
      <c r="M61" s="14"/>
    </row>
    <row r="62" spans="1:14" x14ac:dyDescent="0.35">
      <c r="B62" s="3" t="s">
        <v>18</v>
      </c>
      <c r="C62" s="9">
        <f>IFERROR('Data Sheet'!B65-SUM('Data Sheet'!B67:B69),0)</f>
        <v>723.77999999999975</v>
      </c>
      <c r="D62" s="9">
        <f>IFERROR('Data Sheet'!C65-SUM('Data Sheet'!C67:C69),0)</f>
        <v>1129.4300000000003</v>
      </c>
      <c r="E62" s="9">
        <f>IFERROR('Data Sheet'!D65-SUM('Data Sheet'!D67:D69),0)</f>
        <v>1477.2700000000004</v>
      </c>
      <c r="F62" s="9">
        <f>IFERROR('Data Sheet'!E65-SUM('Data Sheet'!E67:E69),0)</f>
        <v>1939</v>
      </c>
      <c r="G62" s="9">
        <f>IFERROR('Data Sheet'!F65-SUM('Data Sheet'!F67:F69),0)</f>
        <v>1731</v>
      </c>
      <c r="H62" s="9">
        <f>IFERROR('Data Sheet'!G65-SUM('Data Sheet'!G67:G69),0)</f>
        <v>2518</v>
      </c>
      <c r="I62" s="9">
        <f>IFERROR('Data Sheet'!H65-SUM('Data Sheet'!H67:H69),0)</f>
        <v>2762</v>
      </c>
      <c r="J62" s="9">
        <f>IFERROR('Data Sheet'!I65-SUM('Data Sheet'!I67:I69),0)</f>
        <v>3801</v>
      </c>
      <c r="K62" s="9">
        <f>IFERROR('Data Sheet'!J65-SUM('Data Sheet'!J67:J69),0)</f>
        <v>3654</v>
      </c>
      <c r="L62" s="9">
        <f>IFERROR('Data Sheet'!K65-SUM('Data Sheet'!K67:K69),0)</f>
        <v>4438</v>
      </c>
      <c r="M62" s="14"/>
    </row>
    <row r="63" spans="1:14" s="23" customFormat="1" x14ac:dyDescent="0.35">
      <c r="B63" s="21" t="s">
        <v>81</v>
      </c>
      <c r="C63" s="25">
        <f t="shared" ref="C63:L63" si="21">IFERROR(SUM(C59:C62),0)</f>
        <v>2495.2999999999997</v>
      </c>
      <c r="D63" s="25">
        <f t="shared" si="21"/>
        <v>2682.6000000000004</v>
      </c>
      <c r="E63" s="25">
        <f t="shared" si="21"/>
        <v>3184.0900000000006</v>
      </c>
      <c r="F63" s="25">
        <f t="shared" si="21"/>
        <v>4748</v>
      </c>
      <c r="G63" s="25">
        <f t="shared" si="21"/>
        <v>7110</v>
      </c>
      <c r="H63" s="25">
        <f t="shared" si="21"/>
        <v>5441</v>
      </c>
      <c r="I63" s="25">
        <f t="shared" si="21"/>
        <v>8419</v>
      </c>
      <c r="J63" s="25">
        <f t="shared" si="21"/>
        <v>9952</v>
      </c>
      <c r="K63" s="25">
        <f t="shared" si="21"/>
        <v>9809</v>
      </c>
      <c r="L63" s="25">
        <f t="shared" si="21"/>
        <v>14985</v>
      </c>
      <c r="M63" s="24"/>
    </row>
    <row r="64" spans="1:14" x14ac:dyDescent="0.35">
      <c r="B64" s="20"/>
      <c r="C64" s="9"/>
      <c r="D64" s="9"/>
      <c r="E64" s="9"/>
      <c r="F64" s="9"/>
      <c r="G64" s="9"/>
      <c r="H64" s="9"/>
      <c r="I64" s="9"/>
      <c r="J64" s="9"/>
      <c r="K64" s="9"/>
      <c r="L64" s="9"/>
      <c r="M64" s="14"/>
    </row>
    <row r="65" spans="1:13" x14ac:dyDescent="0.35">
      <c r="B65" s="3" t="s">
        <v>42</v>
      </c>
      <c r="C65" s="9">
        <f>IFERROR('Data Sheet'!B67,0)</f>
        <v>207.6</v>
      </c>
      <c r="D65" s="9">
        <f>IFERROR('Data Sheet'!C67,0)</f>
        <v>295.69</v>
      </c>
      <c r="E65" s="9">
        <f>IFERROR('Data Sheet'!D67,0)</f>
        <v>420.45</v>
      </c>
      <c r="F65" s="9">
        <f>IFERROR('Data Sheet'!E67,0)</f>
        <v>312</v>
      </c>
      <c r="G65" s="9">
        <f>IFERROR('Data Sheet'!F67,0)</f>
        <v>366</v>
      </c>
      <c r="H65" s="9">
        <f>IFERROR('Data Sheet'!G67,0)</f>
        <v>565</v>
      </c>
      <c r="I65" s="9">
        <f>IFERROR('Data Sheet'!H67,0)</f>
        <v>674</v>
      </c>
      <c r="J65" s="9">
        <f>IFERROR('Data Sheet'!I67,0)</f>
        <v>1018</v>
      </c>
      <c r="K65" s="9">
        <f>IFERROR('Data Sheet'!J67,0)</f>
        <v>1068</v>
      </c>
      <c r="L65" s="9">
        <f>IFERROR('Data Sheet'!K67,0)</f>
        <v>916</v>
      </c>
      <c r="M65" s="14"/>
    </row>
    <row r="66" spans="1:13" x14ac:dyDescent="0.35">
      <c r="B66" s="3" t="s">
        <v>19</v>
      </c>
      <c r="C66" s="9">
        <f>IFERROR('Data Sheet'!B68,0)</f>
        <v>4925.74</v>
      </c>
      <c r="D66" s="9">
        <f>IFERROR('Data Sheet'!C68,0)</f>
        <v>5924.84</v>
      </c>
      <c r="E66" s="9">
        <f>IFERROR('Data Sheet'!D68,0)</f>
        <v>7038.82</v>
      </c>
      <c r="F66" s="9">
        <f>IFERROR('Data Sheet'!E68,0)</f>
        <v>8103</v>
      </c>
      <c r="G66" s="9">
        <f>IFERROR('Data Sheet'!F68,0)</f>
        <v>8408</v>
      </c>
      <c r="H66" s="9">
        <f>IFERROR('Data Sheet'!G68,0)</f>
        <v>13609</v>
      </c>
      <c r="I66" s="9">
        <f>IFERROR('Data Sheet'!H68,0)</f>
        <v>16584</v>
      </c>
      <c r="J66" s="9">
        <f>IFERROR('Data Sheet'!I68,0)</f>
        <v>19051</v>
      </c>
      <c r="K66" s="9">
        <f>IFERROR('Data Sheet'!J68,0)</f>
        <v>28184</v>
      </c>
      <c r="L66" s="9">
        <f>IFERROR('Data Sheet'!K68,0)</f>
        <v>42743</v>
      </c>
      <c r="M66" s="14"/>
    </row>
    <row r="67" spans="1:13" x14ac:dyDescent="0.35">
      <c r="B67" s="5" t="s">
        <v>41</v>
      </c>
      <c r="C67" s="9">
        <f>IFERROR('Data Sheet'!B69,0)</f>
        <v>778.93</v>
      </c>
      <c r="D67" s="9">
        <f>IFERROR('Data Sheet'!C69,0)</f>
        <v>617.91</v>
      </c>
      <c r="E67" s="9">
        <f>IFERROR('Data Sheet'!D69,0)</f>
        <v>1066.48</v>
      </c>
      <c r="F67" s="9">
        <f>IFERROR('Data Sheet'!E69,0)</f>
        <v>381</v>
      </c>
      <c r="G67" s="9">
        <f>IFERROR('Data Sheet'!F69,0)</f>
        <v>560</v>
      </c>
      <c r="H67" s="9">
        <f>IFERROR('Data Sheet'!G69,0)</f>
        <v>1573</v>
      </c>
      <c r="I67" s="9">
        <f>IFERROR('Data Sheet'!H69,0)</f>
        <v>1343</v>
      </c>
      <c r="J67" s="9">
        <f>IFERROR('Data Sheet'!I69,0)</f>
        <v>1526</v>
      </c>
      <c r="K67" s="9">
        <f>IFERROR('Data Sheet'!J69,0)</f>
        <v>1584</v>
      </c>
      <c r="L67" s="9">
        <f>IFERROR('Data Sheet'!K69,0)</f>
        <v>1917</v>
      </c>
      <c r="M67" s="14"/>
    </row>
    <row r="68" spans="1:13" s="23" customFormat="1" x14ac:dyDescent="0.35">
      <c r="B68" s="22" t="s">
        <v>83</v>
      </c>
      <c r="C68" s="25">
        <f t="shared" ref="C68:L68" si="22">IFERROR(SUM(C65:C67),0)</f>
        <v>5912.27</v>
      </c>
      <c r="D68" s="25">
        <f t="shared" si="22"/>
        <v>6838.44</v>
      </c>
      <c r="E68" s="25">
        <f t="shared" si="22"/>
        <v>8525.75</v>
      </c>
      <c r="F68" s="25">
        <f t="shared" si="22"/>
        <v>8796</v>
      </c>
      <c r="G68" s="25">
        <f t="shared" si="22"/>
        <v>9334</v>
      </c>
      <c r="H68" s="25">
        <f t="shared" si="22"/>
        <v>15747</v>
      </c>
      <c r="I68" s="25">
        <f t="shared" si="22"/>
        <v>18601</v>
      </c>
      <c r="J68" s="25">
        <f t="shared" si="22"/>
        <v>21595</v>
      </c>
      <c r="K68" s="25">
        <f t="shared" si="22"/>
        <v>30836</v>
      </c>
      <c r="L68" s="25">
        <f t="shared" si="22"/>
        <v>45576</v>
      </c>
      <c r="M68" s="24"/>
    </row>
    <row r="69" spans="1:13" x14ac:dyDescent="0.35">
      <c r="C69" s="9"/>
      <c r="D69" s="9"/>
      <c r="E69" s="9"/>
      <c r="F69" s="9"/>
      <c r="G69" s="9"/>
      <c r="H69" s="9"/>
      <c r="I69" s="9"/>
      <c r="J69" s="9"/>
      <c r="K69" s="9"/>
      <c r="L69" s="9"/>
      <c r="M69" s="14"/>
    </row>
    <row r="70" spans="1:13" s="23" customFormat="1" x14ac:dyDescent="0.35">
      <c r="B70" s="22" t="s">
        <v>82</v>
      </c>
      <c r="C70" s="25">
        <f>IFERROR(C68+C63,0)</f>
        <v>8407.57</v>
      </c>
      <c r="D70" s="25">
        <f t="shared" ref="D70:L70" si="23">IFERROR(D68+D63,0)</f>
        <v>9521.0400000000009</v>
      </c>
      <c r="E70" s="25">
        <f t="shared" si="23"/>
        <v>11709.84</v>
      </c>
      <c r="F70" s="25">
        <f t="shared" si="23"/>
        <v>13544</v>
      </c>
      <c r="G70" s="25">
        <f t="shared" si="23"/>
        <v>16444</v>
      </c>
      <c r="H70" s="25">
        <f t="shared" si="23"/>
        <v>21188</v>
      </c>
      <c r="I70" s="25">
        <f t="shared" si="23"/>
        <v>27020</v>
      </c>
      <c r="J70" s="25">
        <f t="shared" si="23"/>
        <v>31547</v>
      </c>
      <c r="K70" s="25">
        <f t="shared" si="23"/>
        <v>40645</v>
      </c>
      <c r="L70" s="25">
        <f t="shared" si="23"/>
        <v>60561</v>
      </c>
      <c r="M70" s="24"/>
    </row>
    <row r="72" spans="1:13" s="26" customFormat="1" x14ac:dyDescent="0.35">
      <c r="B72" s="26" t="s">
        <v>84</v>
      </c>
      <c r="C72" s="26" t="b">
        <f>C70=C57</f>
        <v>1</v>
      </c>
      <c r="D72" s="26" t="b">
        <f t="shared" ref="D72:L72" si="24">D70=D57</f>
        <v>1</v>
      </c>
      <c r="E72" s="26" t="b">
        <f t="shared" si="24"/>
        <v>1</v>
      </c>
      <c r="F72" s="26" t="b">
        <f t="shared" si="24"/>
        <v>1</v>
      </c>
      <c r="G72" s="26" t="b">
        <f t="shared" si="24"/>
        <v>1</v>
      </c>
      <c r="H72" s="26" t="b">
        <f t="shared" si="24"/>
        <v>1</v>
      </c>
      <c r="I72" s="26" t="b">
        <f t="shared" si="24"/>
        <v>1</v>
      </c>
      <c r="J72" s="26" t="b">
        <f t="shared" si="24"/>
        <v>1</v>
      </c>
      <c r="K72" s="26" t="b">
        <f t="shared" si="24"/>
        <v>1</v>
      </c>
      <c r="L72" s="26" t="b">
        <f t="shared" si="24"/>
        <v>1</v>
      </c>
    </row>
    <row r="74" spans="1:13" s="19" customFormat="1" x14ac:dyDescent="0.35">
      <c r="A74" s="19" t="s">
        <v>23</v>
      </c>
      <c r="B74" s="19" t="s">
        <v>85</v>
      </c>
    </row>
    <row r="75" spans="1:13" x14ac:dyDescent="0.35">
      <c r="B75" s="23" t="s">
        <v>115</v>
      </c>
    </row>
    <row r="76" spans="1:13" x14ac:dyDescent="0.35">
      <c r="B76" t="s">
        <v>88</v>
      </c>
      <c r="C76" s="27">
        <f>IFERROR('Data Sheet'!B98,0)</f>
        <v>1073</v>
      </c>
      <c r="D76" s="27">
        <f>IFERROR('Data Sheet'!C98,0)</f>
        <v>1642</v>
      </c>
      <c r="E76" s="27">
        <f>IFERROR('Data Sheet'!D98,0)</f>
        <v>2183</v>
      </c>
      <c r="F76" s="27">
        <f>IFERROR('Data Sheet'!E98,0)</f>
        <v>2481</v>
      </c>
      <c r="G76" s="27">
        <f>IFERROR('Data Sheet'!F98,0)</f>
        <v>1789</v>
      </c>
      <c r="H76" s="27">
        <f>IFERROR('Data Sheet'!G98,0)</f>
        <v>3298</v>
      </c>
      <c r="I76" s="27">
        <f>IFERROR('Data Sheet'!H98,0)</f>
        <v>4937</v>
      </c>
      <c r="J76" s="27">
        <f>IFERROR('Data Sheet'!I98,0)</f>
        <v>5404</v>
      </c>
      <c r="K76" s="27">
        <f>IFERROR('Data Sheet'!J98,0)</f>
        <v>5774</v>
      </c>
      <c r="L76" s="27">
        <f>IFERROR('Data Sheet'!K98,0)</f>
        <v>8447</v>
      </c>
      <c r="M76" s="14"/>
    </row>
    <row r="77" spans="1:13" x14ac:dyDescent="0.35">
      <c r="B77" t="s">
        <v>42</v>
      </c>
      <c r="C77" s="27">
        <f>IFERROR('Data Sheet'!B99,0)</f>
        <v>-12</v>
      </c>
      <c r="D77" s="27">
        <f>IFERROR('Data Sheet'!C99,0)</f>
        <v>-90</v>
      </c>
      <c r="E77" s="27">
        <f>IFERROR('Data Sheet'!D99,0)</f>
        <v>-139</v>
      </c>
      <c r="F77" s="27">
        <f>IFERROR('Data Sheet'!E99,0)</f>
        <v>109</v>
      </c>
      <c r="G77" s="27">
        <f>IFERROR('Data Sheet'!F99,0)</f>
        <v>-59</v>
      </c>
      <c r="H77" s="27">
        <f>IFERROR('Data Sheet'!G99,0)</f>
        <v>-207</v>
      </c>
      <c r="I77" s="27">
        <f>IFERROR('Data Sheet'!H99,0)</f>
        <v>-112</v>
      </c>
      <c r="J77" s="27">
        <f>IFERROR('Data Sheet'!I99,0)</f>
        <v>-348</v>
      </c>
      <c r="K77" s="27">
        <f>IFERROR('Data Sheet'!J99,0)</f>
        <v>-95</v>
      </c>
      <c r="L77" s="27">
        <f>IFERROR('Data Sheet'!K99,0)</f>
        <v>210</v>
      </c>
      <c r="M77" s="14"/>
    </row>
    <row r="78" spans="1:13" x14ac:dyDescent="0.35">
      <c r="B78" t="s">
        <v>19</v>
      </c>
      <c r="C78" s="27">
        <f>IFERROR('Data Sheet'!B100,0)</f>
        <v>-448</v>
      </c>
      <c r="D78" s="27">
        <f>IFERROR('Data Sheet'!C100,0)</f>
        <v>-996</v>
      </c>
      <c r="E78" s="27">
        <f>IFERROR('Data Sheet'!D100,0)</f>
        <v>-1120</v>
      </c>
      <c r="F78" s="27">
        <f>IFERROR('Data Sheet'!E100,0)</f>
        <v>-1057</v>
      </c>
      <c r="G78" s="27">
        <f>IFERROR('Data Sheet'!F100,0)</f>
        <v>-316</v>
      </c>
      <c r="H78" s="27">
        <f>IFERROR('Data Sheet'!G100,0)</f>
        <v>-5199</v>
      </c>
      <c r="I78" s="27">
        <f>IFERROR('Data Sheet'!H100,0)</f>
        <v>-2977</v>
      </c>
      <c r="J78" s="27">
        <f>IFERROR('Data Sheet'!I100,0)</f>
        <v>-2462</v>
      </c>
      <c r="K78" s="27">
        <f>IFERROR('Data Sheet'!J100,0)</f>
        <v>-9072</v>
      </c>
      <c r="L78" s="27">
        <f>IFERROR('Data Sheet'!K100,0)</f>
        <v>-11592</v>
      </c>
      <c r="M78" s="14"/>
    </row>
    <row r="79" spans="1:13" x14ac:dyDescent="0.35">
      <c r="B79" t="s">
        <v>89</v>
      </c>
      <c r="C79" s="27">
        <f>IFERROR('Data Sheet'!B101,0)</f>
        <v>238</v>
      </c>
      <c r="D79" s="27">
        <f>IFERROR('Data Sheet'!C101,0)</f>
        <v>95</v>
      </c>
      <c r="E79" s="27">
        <f>IFERROR('Data Sheet'!D101,0)</f>
        <v>32</v>
      </c>
      <c r="F79" s="27">
        <f>IFERROR('Data Sheet'!E101,0)</f>
        <v>-310</v>
      </c>
      <c r="G79" s="27">
        <f>IFERROR('Data Sheet'!F101,0)</f>
        <v>195</v>
      </c>
      <c r="H79" s="27">
        <f>IFERROR('Data Sheet'!G101,0)</f>
        <v>504</v>
      </c>
      <c r="I79" s="27">
        <f>IFERROR('Data Sheet'!H101,0)</f>
        <v>-89</v>
      </c>
      <c r="J79" s="27">
        <f>IFERROR('Data Sheet'!I101,0)</f>
        <v>196</v>
      </c>
      <c r="K79" s="27">
        <f>IFERROR('Data Sheet'!J101,0)</f>
        <v>564</v>
      </c>
      <c r="L79" s="27">
        <f>IFERROR('Data Sheet'!K101,0)</f>
        <v>472</v>
      </c>
      <c r="M79" s="14"/>
    </row>
    <row r="80" spans="1:13" x14ac:dyDescent="0.35">
      <c r="B80" t="s">
        <v>90</v>
      </c>
      <c r="C80" s="27">
        <f>IFERROR('Data Sheet'!B102,0)</f>
        <v>0</v>
      </c>
      <c r="D80" s="27">
        <f>IFERROR('Data Sheet'!C102,0)</f>
        <v>3</v>
      </c>
      <c r="E80" s="27">
        <f>IFERROR('Data Sheet'!D102,0)</f>
        <v>-24</v>
      </c>
      <c r="F80" s="27">
        <f>IFERROR('Data Sheet'!E102,0)</f>
        <v>-20</v>
      </c>
      <c r="G80" s="27">
        <f>IFERROR('Data Sheet'!F102,0)</f>
        <v>-8</v>
      </c>
      <c r="H80" s="27">
        <f>IFERROR('Data Sheet'!G102,0)</f>
        <v>-3</v>
      </c>
      <c r="I80" s="27">
        <f>IFERROR('Data Sheet'!H102,0)</f>
        <v>-18</v>
      </c>
      <c r="J80" s="27">
        <f>IFERROR('Data Sheet'!I102,0)</f>
        <v>-21</v>
      </c>
      <c r="K80" s="27">
        <f>IFERROR('Data Sheet'!J102,0)</f>
        <v>4</v>
      </c>
      <c r="L80" s="27">
        <f>IFERROR('Data Sheet'!K102,0)</f>
        <v>-8</v>
      </c>
      <c r="M80" s="14"/>
    </row>
    <row r="81" spans="2:13" x14ac:dyDescent="0.35">
      <c r="B81" t="s">
        <v>91</v>
      </c>
      <c r="C81" s="27">
        <f>IFERROR('Data Sheet'!B103,0)</f>
        <v>763</v>
      </c>
      <c r="D81" s="27">
        <f>IFERROR('Data Sheet'!C103,0)</f>
        <v>-270</v>
      </c>
      <c r="E81" s="27">
        <f>IFERROR('Data Sheet'!D103,0)</f>
        <v>741</v>
      </c>
      <c r="F81" s="27">
        <f>IFERROR('Data Sheet'!E103,0)</f>
        <v>-768</v>
      </c>
      <c r="G81" s="27">
        <f>IFERROR('Data Sheet'!F103,0)</f>
        <v>2625</v>
      </c>
      <c r="H81" s="27">
        <f>IFERROR('Data Sheet'!G103,0)</f>
        <v>1188</v>
      </c>
      <c r="I81" s="27">
        <f>IFERROR('Data Sheet'!H103,0)</f>
        <v>-99</v>
      </c>
      <c r="J81" s="27">
        <f>IFERROR('Data Sheet'!I103,0)</f>
        <v>42</v>
      </c>
      <c r="K81" s="27">
        <f>IFERROR('Data Sheet'!J103,0)</f>
        <v>2468</v>
      </c>
      <c r="L81" s="27">
        <f>IFERROR('Data Sheet'!K103,0)</f>
        <v>7304</v>
      </c>
      <c r="M81" s="14"/>
    </row>
    <row r="82" spans="2:13" x14ac:dyDescent="0.35">
      <c r="B82" t="s">
        <v>92</v>
      </c>
      <c r="C82" s="27">
        <f>IFERROR('Data Sheet'!B104,0)</f>
        <v>375</v>
      </c>
      <c r="D82" s="27">
        <f>IFERROR('Data Sheet'!C104,0)</f>
        <v>22</v>
      </c>
      <c r="E82" s="27">
        <f>IFERROR('Data Sheet'!D104,0)</f>
        <v>206</v>
      </c>
      <c r="F82" s="27">
        <f>IFERROR('Data Sheet'!E104,0)</f>
        <v>-226</v>
      </c>
      <c r="G82" s="27">
        <f>IFERROR('Data Sheet'!F104,0)</f>
        <v>184</v>
      </c>
      <c r="H82" s="27">
        <f>IFERROR('Data Sheet'!G104,0)</f>
        <v>497</v>
      </c>
      <c r="I82" s="27">
        <f>IFERROR('Data Sheet'!H104,0)</f>
        <v>882</v>
      </c>
      <c r="J82" s="27">
        <f>IFERROR('Data Sheet'!I104,0)</f>
        <v>57</v>
      </c>
      <c r="K82" s="27">
        <f>IFERROR('Data Sheet'!J104,0)</f>
        <v>905</v>
      </c>
      <c r="L82" s="27">
        <f>IFERROR('Data Sheet'!K104,0)</f>
        <v>2494</v>
      </c>
      <c r="M82" s="14"/>
    </row>
    <row r="83" spans="2:13" x14ac:dyDescent="0.35">
      <c r="B83" t="s">
        <v>93</v>
      </c>
      <c r="C83" s="27">
        <f>IFERROR('Data Sheet'!B105,0)</f>
        <v>916</v>
      </c>
      <c r="D83" s="27">
        <f>IFERROR('Data Sheet'!C105,0)</f>
        <v>-1237</v>
      </c>
      <c r="E83" s="27">
        <f>IFERROR('Data Sheet'!D105,0)</f>
        <v>-304</v>
      </c>
      <c r="F83" s="27">
        <f>IFERROR('Data Sheet'!E105,0)</f>
        <v>-2272</v>
      </c>
      <c r="G83" s="27">
        <f>IFERROR('Data Sheet'!F105,0)</f>
        <v>2621</v>
      </c>
      <c r="H83" s="27">
        <f>IFERROR('Data Sheet'!G105,0)</f>
        <v>-3220</v>
      </c>
      <c r="I83" s="27">
        <f>IFERROR('Data Sheet'!H105,0)</f>
        <v>-2413</v>
      </c>
      <c r="J83" s="27">
        <f>IFERROR('Data Sheet'!I105,0)</f>
        <v>-2536</v>
      </c>
      <c r="K83" s="27">
        <f>IFERROR('Data Sheet'!J105,0)</f>
        <v>-5226</v>
      </c>
      <c r="L83" s="27">
        <f>IFERROR('Data Sheet'!K105,0)</f>
        <v>-1120</v>
      </c>
      <c r="M83" s="14"/>
    </row>
    <row r="84" spans="2:13" x14ac:dyDescent="0.35">
      <c r="B84" t="s">
        <v>94</v>
      </c>
      <c r="C84" s="27">
        <f>IFERROR('Data Sheet'!B106,0)</f>
        <v>-277</v>
      </c>
      <c r="D84" s="27">
        <f>IFERROR('Data Sheet'!C106,0)</f>
        <v>-456</v>
      </c>
      <c r="E84" s="27">
        <f>IFERROR('Data Sheet'!D106,0)</f>
        <v>-636</v>
      </c>
      <c r="F84" s="27">
        <f>IFERROR('Data Sheet'!E106,0)</f>
        <v>-557</v>
      </c>
      <c r="G84" s="27">
        <f>IFERROR('Data Sheet'!F106,0)</f>
        <v>-271</v>
      </c>
      <c r="H84" s="27">
        <f>IFERROR('Data Sheet'!G106,0)</f>
        <v>-802</v>
      </c>
      <c r="I84" s="27">
        <f>IFERROR('Data Sheet'!H106,0)</f>
        <v>-1154</v>
      </c>
      <c r="J84" s="27">
        <f>IFERROR('Data Sheet'!I106,0)</f>
        <v>-1173</v>
      </c>
      <c r="K84" s="27">
        <f>IFERROR('Data Sheet'!J106,0)</f>
        <v>-1089</v>
      </c>
      <c r="L84" s="27">
        <f>IFERROR('Data Sheet'!K106,0)</f>
        <v>-1737</v>
      </c>
      <c r="M84" s="14"/>
    </row>
    <row r="85" spans="2:13" x14ac:dyDescent="0.35">
      <c r="B85" s="23" t="s">
        <v>86</v>
      </c>
      <c r="C85" s="28">
        <f>SUM(C76:C82,C84)</f>
        <v>1712</v>
      </c>
      <c r="D85" s="28">
        <f t="shared" ref="D85:L85" si="25">SUM(D76:D82,D84)</f>
        <v>-50</v>
      </c>
      <c r="E85" s="28">
        <f t="shared" si="25"/>
        <v>1243</v>
      </c>
      <c r="F85" s="28">
        <f t="shared" si="25"/>
        <v>-348</v>
      </c>
      <c r="G85" s="28">
        <f t="shared" si="25"/>
        <v>4139</v>
      </c>
      <c r="H85" s="28">
        <f t="shared" si="25"/>
        <v>-724</v>
      </c>
      <c r="I85" s="28">
        <f t="shared" si="25"/>
        <v>1370</v>
      </c>
      <c r="J85" s="28">
        <f t="shared" si="25"/>
        <v>1695</v>
      </c>
      <c r="K85" s="28">
        <f t="shared" si="25"/>
        <v>-541</v>
      </c>
      <c r="L85" s="28">
        <f t="shared" si="25"/>
        <v>5590</v>
      </c>
    </row>
    <row r="87" spans="2:13" x14ac:dyDescent="0.35">
      <c r="B87" s="29" t="s">
        <v>116</v>
      </c>
    </row>
    <row r="88" spans="2:13" x14ac:dyDescent="0.35">
      <c r="B88" s="5" t="s">
        <v>96</v>
      </c>
      <c r="C88" s="27">
        <f>IFERROR('Data Sheet'!B108,0)</f>
        <v>-256</v>
      </c>
      <c r="D88" s="27">
        <f>IFERROR('Data Sheet'!C108,0)</f>
        <v>-305</v>
      </c>
      <c r="E88" s="27">
        <f>IFERROR('Data Sheet'!D108,0)</f>
        <v>-265</v>
      </c>
      <c r="F88" s="27">
        <f>IFERROR('Data Sheet'!E108,0)</f>
        <v>-355</v>
      </c>
      <c r="G88" s="27">
        <f>IFERROR('Data Sheet'!F108,0)</f>
        <v>-146</v>
      </c>
      <c r="H88" s="27">
        <f>IFERROR('Data Sheet'!G108,0)</f>
        <v>-224</v>
      </c>
      <c r="I88" s="27">
        <f>IFERROR('Data Sheet'!H108,0)</f>
        <v>-432</v>
      </c>
      <c r="J88" s="27">
        <f>IFERROR('Data Sheet'!I108,0)</f>
        <v>-691</v>
      </c>
      <c r="K88" s="27">
        <f>IFERROR('Data Sheet'!J108,0)</f>
        <v>-494</v>
      </c>
      <c r="L88" s="27">
        <f>IFERROR('Data Sheet'!K108,0)</f>
        <v>-902</v>
      </c>
    </row>
    <row r="89" spans="2:13" x14ac:dyDescent="0.35">
      <c r="B89" s="5" t="s">
        <v>97</v>
      </c>
      <c r="C89" s="27">
        <f>IFERROR('Data Sheet'!B109,0)</f>
        <v>5</v>
      </c>
      <c r="D89" s="27">
        <f>IFERROR('Data Sheet'!C109,0)</f>
        <v>6</v>
      </c>
      <c r="E89" s="27">
        <f>IFERROR('Data Sheet'!D109,0)</f>
        <v>1</v>
      </c>
      <c r="F89" s="27">
        <f>IFERROR('Data Sheet'!E109,0)</f>
        <v>10</v>
      </c>
      <c r="G89" s="27">
        <f>IFERROR('Data Sheet'!F109,0)</f>
        <v>7</v>
      </c>
      <c r="H89" s="27">
        <f>IFERROR('Data Sheet'!G109,0)</f>
        <v>8</v>
      </c>
      <c r="I89" s="27">
        <f>IFERROR('Data Sheet'!H109,0)</f>
        <v>12</v>
      </c>
      <c r="J89" s="27">
        <f>IFERROR('Data Sheet'!I109,0)</f>
        <v>20</v>
      </c>
      <c r="K89" s="27">
        <f>IFERROR('Data Sheet'!J109,0)</f>
        <v>24</v>
      </c>
      <c r="L89" s="27">
        <f>IFERROR('Data Sheet'!K109,0)</f>
        <v>25</v>
      </c>
    </row>
    <row r="90" spans="2:13" x14ac:dyDescent="0.35">
      <c r="B90" s="5" t="s">
        <v>98</v>
      </c>
      <c r="C90" s="27">
        <f>IFERROR('Data Sheet'!B110,0)</f>
        <v>-325</v>
      </c>
      <c r="D90" s="27">
        <f>IFERROR('Data Sheet'!C110,0)</f>
        <v>0</v>
      </c>
      <c r="E90" s="27">
        <f>IFERROR('Data Sheet'!D110,0)</f>
        <v>-36</v>
      </c>
      <c r="F90" s="27">
        <f>IFERROR('Data Sheet'!E110,0)</f>
        <v>-13</v>
      </c>
      <c r="G90" s="27">
        <f>IFERROR('Data Sheet'!F110,0)</f>
        <v>-2656</v>
      </c>
      <c r="H90" s="27">
        <f>IFERROR('Data Sheet'!G110,0)</f>
        <v>-253</v>
      </c>
      <c r="I90" s="27">
        <f>IFERROR('Data Sheet'!H110,0)</f>
        <v>-2104</v>
      </c>
      <c r="J90" s="27">
        <f>IFERROR('Data Sheet'!I110,0)</f>
        <v>-21893</v>
      </c>
      <c r="K90" s="27">
        <f>IFERROR('Data Sheet'!J110,0)</f>
        <v>-15342</v>
      </c>
      <c r="L90" s="27">
        <f>IFERROR('Data Sheet'!K110,0)</f>
        <v>-22035</v>
      </c>
    </row>
    <row r="91" spans="2:13" x14ac:dyDescent="0.35">
      <c r="B91" s="5" t="s">
        <v>99</v>
      </c>
      <c r="C91" s="27">
        <f>IFERROR('Data Sheet'!B111,0)</f>
        <v>0</v>
      </c>
      <c r="D91" s="27">
        <f>IFERROR('Data Sheet'!C111,0)</f>
        <v>412</v>
      </c>
      <c r="E91" s="27">
        <f>IFERROR('Data Sheet'!D111,0)</f>
        <v>18</v>
      </c>
      <c r="F91" s="27">
        <f>IFERROR('Data Sheet'!E111,0)</f>
        <v>0</v>
      </c>
      <c r="G91" s="27">
        <f>IFERROR('Data Sheet'!F111,0)</f>
        <v>43</v>
      </c>
      <c r="H91" s="27">
        <f>IFERROR('Data Sheet'!G111,0)</f>
        <v>2870</v>
      </c>
      <c r="I91" s="27">
        <f>IFERROR('Data Sheet'!H111,0)</f>
        <v>0</v>
      </c>
      <c r="J91" s="27">
        <f>IFERROR('Data Sheet'!I111,0)</f>
        <v>22213</v>
      </c>
      <c r="K91" s="27">
        <f>IFERROR('Data Sheet'!J111,0)</f>
        <v>15747</v>
      </c>
      <c r="L91" s="27">
        <f>IFERROR('Data Sheet'!K111,0)</f>
        <v>20797</v>
      </c>
    </row>
    <row r="92" spans="2:13" x14ac:dyDescent="0.35">
      <c r="B92" s="5" t="s">
        <v>100</v>
      </c>
      <c r="C92" s="27">
        <f>IFERROR('Data Sheet'!B112,0)</f>
        <v>41</v>
      </c>
      <c r="D92" s="27">
        <f>IFERROR('Data Sheet'!C112,0)</f>
        <v>64</v>
      </c>
      <c r="E92" s="27">
        <f>IFERROR('Data Sheet'!D112,0)</f>
        <v>85</v>
      </c>
      <c r="F92" s="27">
        <f>IFERROR('Data Sheet'!E112,0)</f>
        <v>73</v>
      </c>
      <c r="G92" s="27">
        <f>IFERROR('Data Sheet'!F112,0)</f>
        <v>49</v>
      </c>
      <c r="H92" s="27">
        <f>IFERROR('Data Sheet'!G112,0)</f>
        <v>56</v>
      </c>
      <c r="I92" s="27">
        <f>IFERROR('Data Sheet'!H112,0)</f>
        <v>143</v>
      </c>
      <c r="J92" s="27">
        <f>IFERROR('Data Sheet'!I112,0)</f>
        <v>249</v>
      </c>
      <c r="K92" s="27">
        <f>IFERROR('Data Sheet'!J112,0)</f>
        <v>288</v>
      </c>
      <c r="L92" s="27">
        <f>IFERROR('Data Sheet'!K112,0)</f>
        <v>227</v>
      </c>
    </row>
    <row r="93" spans="2:13" x14ac:dyDescent="0.35">
      <c r="B93" s="5" t="s">
        <v>101</v>
      </c>
      <c r="C93" s="27">
        <f>IFERROR('Data Sheet'!B113,0)</f>
        <v>0</v>
      </c>
      <c r="D93" s="27">
        <f>IFERROR('Data Sheet'!C113,0)</f>
        <v>0</v>
      </c>
      <c r="E93" s="27">
        <f>IFERROR('Data Sheet'!D113,0)</f>
        <v>0</v>
      </c>
      <c r="F93" s="27">
        <f>IFERROR('Data Sheet'!E113,0)</f>
        <v>-39</v>
      </c>
      <c r="G93" s="27">
        <f>IFERROR('Data Sheet'!F113,0)</f>
        <v>0</v>
      </c>
      <c r="H93" s="27">
        <f>IFERROR('Data Sheet'!G113,0)</f>
        <v>0</v>
      </c>
      <c r="I93" s="27">
        <f>IFERROR('Data Sheet'!H113,0)</f>
        <v>0</v>
      </c>
      <c r="J93" s="27">
        <f>IFERROR('Data Sheet'!I113,0)</f>
        <v>0</v>
      </c>
      <c r="K93" s="27">
        <f>IFERROR('Data Sheet'!J113,0)</f>
        <v>0</v>
      </c>
      <c r="L93" s="27">
        <f>IFERROR('Data Sheet'!K113,0)</f>
        <v>0</v>
      </c>
    </row>
    <row r="94" spans="2:13" x14ac:dyDescent="0.35">
      <c r="B94" s="5" t="s">
        <v>102</v>
      </c>
      <c r="C94" s="27">
        <f>IFERROR('Data Sheet'!B114,0)</f>
        <v>0</v>
      </c>
      <c r="D94" s="27">
        <f>IFERROR('Data Sheet'!C114,0)</f>
        <v>0</v>
      </c>
      <c r="E94" s="27">
        <f>IFERROR('Data Sheet'!D114,0)</f>
        <v>0</v>
      </c>
      <c r="F94" s="27">
        <f>IFERROR('Data Sheet'!E114,0)</f>
        <v>0</v>
      </c>
      <c r="G94" s="27">
        <f>IFERROR('Data Sheet'!F114,0)</f>
        <v>0</v>
      </c>
      <c r="H94" s="27">
        <f>IFERROR('Data Sheet'!G114,0)</f>
        <v>0</v>
      </c>
      <c r="I94" s="27">
        <f>IFERROR('Data Sheet'!H114,0)</f>
        <v>0</v>
      </c>
      <c r="J94" s="27">
        <f>IFERROR('Data Sheet'!I114,0)</f>
        <v>0</v>
      </c>
      <c r="K94" s="27">
        <f>IFERROR('Data Sheet'!J114,0)</f>
        <v>0</v>
      </c>
      <c r="L94" s="27">
        <f>IFERROR('Data Sheet'!K114,0)</f>
        <v>0</v>
      </c>
    </row>
    <row r="95" spans="2:13" x14ac:dyDescent="0.35">
      <c r="B95" s="5" t="s">
        <v>103</v>
      </c>
      <c r="C95" s="27">
        <f>IFERROR('Data Sheet'!B115,0)</f>
        <v>-385</v>
      </c>
      <c r="D95" s="27">
        <f>IFERROR('Data Sheet'!C115,0)</f>
        <v>0</v>
      </c>
      <c r="E95" s="27">
        <f>IFERROR('Data Sheet'!D115,0)</f>
        <v>0</v>
      </c>
      <c r="F95" s="27">
        <f>IFERROR('Data Sheet'!E115,0)</f>
        <v>0</v>
      </c>
      <c r="G95" s="27">
        <f>IFERROR('Data Sheet'!F115,0)</f>
        <v>0</v>
      </c>
      <c r="H95" s="27">
        <f>IFERROR('Data Sheet'!G115,0)</f>
        <v>0</v>
      </c>
      <c r="I95" s="27">
        <f>IFERROR('Data Sheet'!H115,0)</f>
        <v>0</v>
      </c>
      <c r="J95" s="27">
        <f>IFERROR('Data Sheet'!I115,0)</f>
        <v>0</v>
      </c>
      <c r="K95" s="27">
        <f>IFERROR('Data Sheet'!J115,0)</f>
        <v>0</v>
      </c>
      <c r="L95" s="27">
        <f>IFERROR('Data Sheet'!K115,0)</f>
        <v>0</v>
      </c>
    </row>
    <row r="96" spans="2:13" x14ac:dyDescent="0.35">
      <c r="B96" s="5" t="s">
        <v>104</v>
      </c>
      <c r="C96" s="27">
        <f>IFERROR('Data Sheet'!B116,0)</f>
        <v>5</v>
      </c>
      <c r="D96" s="27">
        <f>IFERROR('Data Sheet'!C116,0)</f>
        <v>-35</v>
      </c>
      <c r="E96" s="27">
        <f>IFERROR('Data Sheet'!D116,0)</f>
        <v>-115</v>
      </c>
      <c r="F96" s="27">
        <f>IFERROR('Data Sheet'!E116,0)</f>
        <v>200</v>
      </c>
      <c r="G96" s="27">
        <f>IFERROR('Data Sheet'!F116,0)</f>
        <v>-50</v>
      </c>
      <c r="H96" s="27">
        <f>IFERROR('Data Sheet'!G116,0)</f>
        <v>-344</v>
      </c>
      <c r="I96" s="27">
        <f>IFERROR('Data Sheet'!H116,0)</f>
        <v>294</v>
      </c>
      <c r="J96" s="27">
        <f>IFERROR('Data Sheet'!I116,0)</f>
        <v>-143</v>
      </c>
      <c r="K96" s="27">
        <f>IFERROR('Data Sheet'!J116,0)</f>
        <v>243</v>
      </c>
      <c r="L96" s="27">
        <f>IFERROR('Data Sheet'!K116,0)</f>
        <v>0</v>
      </c>
    </row>
    <row r="97" spans="2:12" x14ac:dyDescent="0.35">
      <c r="B97" s="5" t="s">
        <v>105</v>
      </c>
      <c r="C97" s="27">
        <f>IFERROR('Data Sheet'!B117,0)</f>
        <v>-38</v>
      </c>
      <c r="D97" s="27">
        <f>IFERROR('Data Sheet'!C117,0)</f>
        <v>-43</v>
      </c>
      <c r="E97" s="27">
        <f>IFERROR('Data Sheet'!D117,0)</f>
        <v>-485</v>
      </c>
      <c r="F97" s="27">
        <f>IFERROR('Data Sheet'!E117,0)</f>
        <v>359</v>
      </c>
      <c r="G97" s="27">
        <f>IFERROR('Data Sheet'!F117,0)</f>
        <v>-46</v>
      </c>
      <c r="H97" s="27">
        <f>IFERROR('Data Sheet'!G117,0)</f>
        <v>-948</v>
      </c>
      <c r="I97" s="27">
        <f>IFERROR('Data Sheet'!H117,0)</f>
        <v>273</v>
      </c>
      <c r="J97" s="27">
        <f>IFERROR('Data Sheet'!I117,0)</f>
        <v>56</v>
      </c>
      <c r="K97" s="27">
        <f>IFERROR('Data Sheet'!J117,0)</f>
        <v>80</v>
      </c>
      <c r="L97" s="27">
        <f>IFERROR('Data Sheet'!K117,0)</f>
        <v>-1077</v>
      </c>
    </row>
    <row r="98" spans="2:12" s="23" customFormat="1" x14ac:dyDescent="0.35">
      <c r="B98" s="29" t="s">
        <v>117</v>
      </c>
      <c r="C98" s="28">
        <f>SUM(C88:C97)</f>
        <v>-953</v>
      </c>
      <c r="D98" s="28">
        <f t="shared" ref="D98:L98" si="26">SUM(D88:D97)</f>
        <v>99</v>
      </c>
      <c r="E98" s="28">
        <f t="shared" si="26"/>
        <v>-797</v>
      </c>
      <c r="F98" s="28">
        <f t="shared" si="26"/>
        <v>235</v>
      </c>
      <c r="G98" s="28">
        <f t="shared" si="26"/>
        <v>-2799</v>
      </c>
      <c r="H98" s="28">
        <f t="shared" si="26"/>
        <v>1165</v>
      </c>
      <c r="I98" s="28">
        <f t="shared" si="26"/>
        <v>-1814</v>
      </c>
      <c r="J98" s="28">
        <f t="shared" si="26"/>
        <v>-189</v>
      </c>
      <c r="K98" s="28">
        <f t="shared" si="26"/>
        <v>546</v>
      </c>
      <c r="L98" s="28">
        <f t="shared" si="26"/>
        <v>-2965</v>
      </c>
    </row>
    <row r="100" spans="2:12" x14ac:dyDescent="0.35">
      <c r="B100" s="22" t="s">
        <v>118</v>
      </c>
    </row>
    <row r="101" spans="2:12" x14ac:dyDescent="0.35">
      <c r="B101" s="5" t="s">
        <v>107</v>
      </c>
      <c r="C101" s="27">
        <f>IFERROR('Data Sheet'!B119,0)</f>
        <v>0</v>
      </c>
      <c r="D101" s="27">
        <f>IFERROR('Data Sheet'!C119,0)</f>
        <v>0</v>
      </c>
      <c r="E101" s="27">
        <f>IFERROR('Data Sheet'!D119,0)</f>
        <v>0</v>
      </c>
      <c r="F101" s="27">
        <f>IFERROR('Data Sheet'!E119,0)</f>
        <v>693</v>
      </c>
      <c r="G101" s="27">
        <f>IFERROR('Data Sheet'!F119,0)</f>
        <v>0</v>
      </c>
      <c r="H101" s="27">
        <f>IFERROR('Data Sheet'!G119,0)</f>
        <v>349</v>
      </c>
      <c r="I101" s="27">
        <f>IFERROR('Data Sheet'!H119,0)</f>
        <v>1684</v>
      </c>
      <c r="J101" s="27">
        <f>IFERROR('Data Sheet'!I119,0)</f>
        <v>5629</v>
      </c>
      <c r="K101" s="27">
        <f>IFERROR('Data Sheet'!J119,0)</f>
        <v>2599</v>
      </c>
      <c r="L101" s="27">
        <f>IFERROR('Data Sheet'!K119,0)</f>
        <v>3314</v>
      </c>
    </row>
    <row r="102" spans="2:12" x14ac:dyDescent="0.35">
      <c r="B102" s="5" t="s">
        <v>108</v>
      </c>
      <c r="C102" s="27">
        <f>IFERROR('Data Sheet'!B120,0)</f>
        <v>0</v>
      </c>
      <c r="D102" s="27">
        <f>IFERROR('Data Sheet'!C120,0)</f>
        <v>0</v>
      </c>
      <c r="E102" s="27">
        <f>IFERROR('Data Sheet'!D120,0)</f>
        <v>-39</v>
      </c>
      <c r="F102" s="27">
        <f>IFERROR('Data Sheet'!E120,0)</f>
        <v>0</v>
      </c>
      <c r="G102" s="27">
        <f>IFERROR('Data Sheet'!F120,0)</f>
        <v>-562</v>
      </c>
      <c r="H102" s="27">
        <f>IFERROR('Data Sheet'!G120,0)</f>
        <v>-7</v>
      </c>
      <c r="I102" s="27">
        <f>IFERROR('Data Sheet'!H120,0)</f>
        <v>-7</v>
      </c>
      <c r="J102" s="27">
        <f>IFERROR('Data Sheet'!I120,0)</f>
        <v>0</v>
      </c>
      <c r="K102" s="27">
        <f>IFERROR('Data Sheet'!J120,0)</f>
        <v>-378</v>
      </c>
      <c r="L102" s="27">
        <f>IFERROR('Data Sheet'!K120,0)</f>
        <v>-2632</v>
      </c>
    </row>
    <row r="103" spans="2:12" x14ac:dyDescent="0.35">
      <c r="B103" s="5" t="s">
        <v>109</v>
      </c>
      <c r="C103" s="27">
        <f>IFERROR('Data Sheet'!B121,0)</f>
        <v>-38</v>
      </c>
      <c r="D103" s="27">
        <f>IFERROR('Data Sheet'!C121,0)</f>
        <v>-54</v>
      </c>
      <c r="E103" s="27">
        <f>IFERROR('Data Sheet'!D121,0)</f>
        <v>-53</v>
      </c>
      <c r="F103" s="27">
        <f>IFERROR('Data Sheet'!E121,0)</f>
        <v>-399</v>
      </c>
      <c r="G103" s="27">
        <f>IFERROR('Data Sheet'!F121,0)</f>
        <v>-317</v>
      </c>
      <c r="H103" s="27">
        <f>IFERROR('Data Sheet'!G121,0)</f>
        <v>-218</v>
      </c>
      <c r="I103" s="27">
        <f>IFERROR('Data Sheet'!H121,0)</f>
        <v>-300</v>
      </c>
      <c r="J103" s="27">
        <f>IFERROR('Data Sheet'!I121,0)</f>
        <v>-619</v>
      </c>
      <c r="K103" s="27">
        <f>IFERROR('Data Sheet'!J121,0)</f>
        <v>-538</v>
      </c>
      <c r="L103" s="27">
        <f>IFERROR('Data Sheet'!K121,0)</f>
        <v>-1000</v>
      </c>
    </row>
    <row r="104" spans="2:12" x14ac:dyDescent="0.35">
      <c r="B104" s="5" t="s">
        <v>110</v>
      </c>
      <c r="C104" s="27">
        <f>IFERROR('Data Sheet'!B122,0)</f>
        <v>-4</v>
      </c>
      <c r="D104" s="27">
        <f>IFERROR('Data Sheet'!C122,0)</f>
        <v>-277</v>
      </c>
      <c r="E104" s="27">
        <f>IFERROR('Data Sheet'!D122,0)</f>
        <v>-397</v>
      </c>
      <c r="F104" s="27">
        <f>IFERROR('Data Sheet'!E122,0)</f>
        <v>-536</v>
      </c>
      <c r="G104" s="27">
        <f>IFERROR('Data Sheet'!F122,0)</f>
        <v>-355</v>
      </c>
      <c r="H104" s="27">
        <f>IFERROR('Data Sheet'!G122,0)</f>
        <v>-355</v>
      </c>
      <c r="I104" s="27">
        <f>IFERROR('Data Sheet'!H122,0)</f>
        <v>-666</v>
      </c>
      <c r="J104" s="27">
        <f>IFERROR('Data Sheet'!I122,0)</f>
        <v>-888</v>
      </c>
      <c r="K104" s="27">
        <f>IFERROR('Data Sheet'!J122,0)</f>
        <v>-976</v>
      </c>
      <c r="L104" s="27">
        <f>IFERROR('Data Sheet'!K122,0)</f>
        <v>-976</v>
      </c>
    </row>
    <row r="105" spans="2:12" x14ac:dyDescent="0.35">
      <c r="B105" s="5" t="s">
        <v>111</v>
      </c>
      <c r="C105" s="27">
        <f>IFERROR('Data Sheet'!B123,0)</f>
        <v>0</v>
      </c>
      <c r="D105" s="27">
        <f>IFERROR('Data Sheet'!C123,0)</f>
        <v>0</v>
      </c>
      <c r="E105" s="27">
        <f>IFERROR('Data Sheet'!D123,0)</f>
        <v>0</v>
      </c>
      <c r="F105" s="27">
        <f>IFERROR('Data Sheet'!E123,0)</f>
        <v>0</v>
      </c>
      <c r="G105" s="27">
        <f>IFERROR('Data Sheet'!F123,0)</f>
        <v>0</v>
      </c>
      <c r="H105" s="27">
        <f>IFERROR('Data Sheet'!G123,0)</f>
        <v>-172</v>
      </c>
      <c r="I105" s="27">
        <f>IFERROR('Data Sheet'!H123,0)</f>
        <v>-254</v>
      </c>
      <c r="J105" s="27">
        <f>IFERROR('Data Sheet'!I123,0)</f>
        <v>-318</v>
      </c>
      <c r="K105" s="27">
        <f>IFERROR('Data Sheet'!J123,0)</f>
        <v>-700</v>
      </c>
      <c r="L105" s="27">
        <f>IFERROR('Data Sheet'!K123,0)</f>
        <v>-865</v>
      </c>
    </row>
    <row r="106" spans="2:12" x14ac:dyDescent="0.35">
      <c r="B106" s="5" t="s">
        <v>112</v>
      </c>
      <c r="C106" s="27">
        <f>IFERROR('Data Sheet'!B124,0)</f>
        <v>-124</v>
      </c>
      <c r="D106" s="27">
        <f>IFERROR('Data Sheet'!C124,0)</f>
        <v>79</v>
      </c>
      <c r="E106" s="27">
        <f>IFERROR('Data Sheet'!D124,0)</f>
        <v>0</v>
      </c>
      <c r="F106" s="27">
        <f>IFERROR('Data Sheet'!E124,0)</f>
        <v>0</v>
      </c>
      <c r="G106" s="27">
        <f>IFERROR('Data Sheet'!F124,0)</f>
        <v>0</v>
      </c>
      <c r="H106" s="27">
        <f>IFERROR('Data Sheet'!G124,0)</f>
        <v>0</v>
      </c>
      <c r="I106" s="27">
        <f>IFERROR('Data Sheet'!H124,0)</f>
        <v>0</v>
      </c>
      <c r="J106" s="27">
        <f>IFERROR('Data Sheet'!I124,0)</f>
        <v>-5133</v>
      </c>
      <c r="K106" s="27">
        <f>IFERROR('Data Sheet'!J124,0)</f>
        <v>-14</v>
      </c>
      <c r="L106" s="27">
        <f>IFERROR('Data Sheet'!K124,0)</f>
        <v>0</v>
      </c>
    </row>
    <row r="107" spans="2:12" s="23" customFormat="1" x14ac:dyDescent="0.35">
      <c r="B107" s="29" t="s">
        <v>33</v>
      </c>
      <c r="C107" s="28">
        <f t="shared" ref="C107:L107" si="27">SUM(C101:C106)</f>
        <v>-166</v>
      </c>
      <c r="D107" s="28">
        <f t="shared" si="27"/>
        <v>-252</v>
      </c>
      <c r="E107" s="28">
        <f t="shared" si="27"/>
        <v>-489</v>
      </c>
      <c r="F107" s="28">
        <f t="shared" si="27"/>
        <v>-242</v>
      </c>
      <c r="G107" s="28">
        <f t="shared" si="27"/>
        <v>-1234</v>
      </c>
      <c r="H107" s="28">
        <f t="shared" si="27"/>
        <v>-403</v>
      </c>
      <c r="I107" s="28">
        <f t="shared" si="27"/>
        <v>457</v>
      </c>
      <c r="J107" s="28">
        <f t="shared" si="27"/>
        <v>-1329</v>
      </c>
      <c r="K107" s="28">
        <f t="shared" si="27"/>
        <v>-7</v>
      </c>
      <c r="L107" s="28">
        <f t="shared" si="27"/>
        <v>-2159</v>
      </c>
    </row>
    <row r="108" spans="2:12" x14ac:dyDescent="0.35">
      <c r="B108" s="5"/>
      <c r="C108" s="27"/>
      <c r="D108" s="27"/>
      <c r="E108" s="27"/>
      <c r="F108" s="27"/>
      <c r="G108" s="27"/>
      <c r="H108" s="27"/>
      <c r="I108" s="27"/>
      <c r="J108" s="27"/>
      <c r="K108" s="27"/>
      <c r="L108" s="27"/>
    </row>
    <row r="109" spans="2:12" s="23" customFormat="1" x14ac:dyDescent="0.35">
      <c r="B109" s="22" t="s">
        <v>119</v>
      </c>
      <c r="C109" s="28">
        <f t="shared" ref="C109:L109" si="28">IFERROR(C85+C98+C107,0)</f>
        <v>593</v>
      </c>
      <c r="D109" s="28">
        <f t="shared" si="28"/>
        <v>-203</v>
      </c>
      <c r="E109" s="28">
        <f t="shared" si="28"/>
        <v>-43</v>
      </c>
      <c r="F109" s="28">
        <f t="shared" si="28"/>
        <v>-355</v>
      </c>
      <c r="G109" s="28">
        <f t="shared" si="28"/>
        <v>106</v>
      </c>
      <c r="H109" s="28">
        <f t="shared" si="28"/>
        <v>38</v>
      </c>
      <c r="I109" s="28">
        <f t="shared" si="28"/>
        <v>13</v>
      </c>
      <c r="J109" s="28">
        <f t="shared" si="28"/>
        <v>177</v>
      </c>
      <c r="K109" s="28">
        <f t="shared" si="28"/>
        <v>-2</v>
      </c>
      <c r="L109" s="28">
        <f t="shared" si="28"/>
        <v>466</v>
      </c>
    </row>
    <row r="112" spans="2:12" s="19" customFormat="1" x14ac:dyDescent="0.35">
      <c r="B112" s="19" t="s">
        <v>213</v>
      </c>
    </row>
    <row r="114" spans="2:12" s="28" customFormat="1" x14ac:dyDescent="0.35">
      <c r="B114" s="28" t="s">
        <v>214</v>
      </c>
      <c r="C114" s="28">
        <v>783</v>
      </c>
      <c r="D114" s="28">
        <v>878</v>
      </c>
      <c r="E114" s="28">
        <v>906</v>
      </c>
      <c r="F114" s="28">
        <v>596</v>
      </c>
      <c r="G114" s="28">
        <v>789</v>
      </c>
      <c r="H114" s="28">
        <v>1294</v>
      </c>
      <c r="I114" s="28">
        <v>1214</v>
      </c>
      <c r="J114" s="28">
        <v>1410</v>
      </c>
      <c r="K114" s="28">
        <v>1963</v>
      </c>
      <c r="L114" s="28">
        <v>2864</v>
      </c>
    </row>
  </sheetData>
  <mergeCells count="1">
    <mergeCell ref="B2:M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CCB95-2D86-4632-802F-37EC924ECBD8}">
  <dimension ref="B1:O41"/>
  <sheetViews>
    <sheetView showGridLines="0" zoomScale="93" zoomScaleNormal="82" workbookViewId="0">
      <pane xSplit="1" ySplit="3" topLeftCell="B4" activePane="bottomRight" state="frozen"/>
      <selection pane="topRight" activeCell="B1" sqref="B1"/>
      <selection pane="bottomLeft" activeCell="A4" sqref="A4"/>
      <selection pane="bottomRight" activeCell="C37" sqref="C37"/>
    </sheetView>
  </sheetViews>
  <sheetFormatPr defaultRowHeight="14.5" x14ac:dyDescent="0.35"/>
  <cols>
    <col min="1" max="1" width="1.81640625" customWidth="1"/>
    <col min="2" max="2" width="24.26953125" bestFit="1" customWidth="1"/>
    <col min="13" max="13" width="12.90625" customWidth="1"/>
  </cols>
  <sheetData>
    <row r="1" spans="2:15" x14ac:dyDescent="0.35">
      <c r="B1" s="50"/>
      <c r="C1" s="50"/>
      <c r="D1" s="50"/>
      <c r="E1" s="50"/>
      <c r="F1" s="50"/>
      <c r="G1" s="50"/>
      <c r="H1" s="50"/>
      <c r="I1" s="50"/>
      <c r="J1" s="50"/>
      <c r="K1" s="50"/>
      <c r="L1" s="50"/>
      <c r="M1" s="50"/>
      <c r="N1" s="50"/>
      <c r="O1" s="50"/>
    </row>
    <row r="2" spans="2:15" x14ac:dyDescent="0.35">
      <c r="B2" s="123" t="str">
        <f xml:space="preserve"> "Ratio Analysis -" &amp; 'Data Sheet'!B1</f>
        <v>Ratio Analysis -TITAN COMPANY LTD</v>
      </c>
      <c r="C2" s="123"/>
      <c r="D2" s="123"/>
      <c r="E2" s="123"/>
      <c r="F2" s="123"/>
      <c r="G2" s="123"/>
      <c r="H2" s="123"/>
      <c r="I2" s="123"/>
      <c r="J2" s="123"/>
      <c r="K2" s="123"/>
      <c r="L2" s="123"/>
      <c r="M2" s="123"/>
      <c r="N2" s="123"/>
      <c r="O2" s="123"/>
    </row>
    <row r="3" spans="2:15" x14ac:dyDescent="0.35">
      <c r="B3" s="39" t="s">
        <v>20</v>
      </c>
      <c r="C3" s="51">
        <f>'Data Sheet'!B16</f>
        <v>42825</v>
      </c>
      <c r="D3" s="51">
        <f>'Data Sheet'!C16</f>
        <v>43190</v>
      </c>
      <c r="E3" s="51">
        <f>'Data Sheet'!D16</f>
        <v>43555</v>
      </c>
      <c r="F3" s="51">
        <f>'Data Sheet'!E16</f>
        <v>43921</v>
      </c>
      <c r="G3" s="51">
        <f>'Data Sheet'!F16</f>
        <v>44286</v>
      </c>
      <c r="H3" s="51">
        <f>'Data Sheet'!G16</f>
        <v>44651</v>
      </c>
      <c r="I3" s="51">
        <f>'Data Sheet'!H16</f>
        <v>45016</v>
      </c>
      <c r="J3" s="51">
        <f>'Data Sheet'!I16</f>
        <v>45382</v>
      </c>
      <c r="K3" s="51">
        <f>'Data Sheet'!J16</f>
        <v>45747</v>
      </c>
      <c r="L3" s="51">
        <f>'Data Sheet'!K16</f>
        <v>46112</v>
      </c>
      <c r="M3" s="51" t="s">
        <v>155</v>
      </c>
      <c r="N3" s="51" t="s">
        <v>153</v>
      </c>
      <c r="O3" s="51" t="s">
        <v>154</v>
      </c>
    </row>
    <row r="5" spans="2:15" x14ac:dyDescent="0.35">
      <c r="B5" s="40" t="s">
        <v>9</v>
      </c>
      <c r="C5" s="41"/>
      <c r="D5" s="41">
        <f>IFERROR('Historical FS'!D6,0)</f>
        <v>0.21559283996552248</v>
      </c>
      <c r="E5" s="41">
        <f>IFERROR('Historical FS'!E6,0)</f>
        <v>0.22697284142391605</v>
      </c>
      <c r="F5" s="41">
        <f>IFERROR('Historical FS'!F6,0)</f>
        <v>6.4387021880302431E-2</v>
      </c>
      <c r="G5" s="41">
        <f>IFERROR('Historical FS'!G6,0)</f>
        <v>2.8120843625308867E-2</v>
      </c>
      <c r="H5" s="41">
        <f>IFERROR('Historical FS'!H6,0)</f>
        <v>0.33057660321567184</v>
      </c>
      <c r="I5" s="41">
        <f>IFERROR('Historical FS'!I6,0)</f>
        <v>0.40890308691274013</v>
      </c>
      <c r="J5" s="41">
        <f>IFERROR('Historical FS'!J6,0)</f>
        <v>0.25900184842883545</v>
      </c>
      <c r="K5" s="41">
        <f>IFERROR('Historical FS'!K6,0)</f>
        <v>0.18346253229974163</v>
      </c>
      <c r="L5" s="41">
        <f>IFERROR('Historical FS'!L6,0)</f>
        <v>0.448723038242689</v>
      </c>
      <c r="M5" s="40"/>
      <c r="N5" s="41">
        <f>IFERROR(AVERAGE(D5:L5),0)</f>
        <v>0.24063785066608087</v>
      </c>
      <c r="O5" s="41">
        <f>IFERROR(MEDIAN(D5:L5),0)</f>
        <v>0.22697284142391605</v>
      </c>
    </row>
    <row r="6" spans="2:15" x14ac:dyDescent="0.35">
      <c r="B6" t="s">
        <v>124</v>
      </c>
      <c r="D6" s="37">
        <f>IFERROR('Historical FS'!D17/'Historical FS'!C17-1,0)</f>
        <v>0.41266431824040017</v>
      </c>
      <c r="E6" s="37">
        <f>IFERROR('Historical FS'!E17/'Historical FS'!D17-1,0)</f>
        <v>0.21262011920690882</v>
      </c>
      <c r="F6" s="37">
        <f>IFERROR('Historical FS'!F17/'Historical FS'!E17-1,0)</f>
        <v>0.23533571740253434</v>
      </c>
      <c r="G6" s="37">
        <f>IFERROR('Historical FS'!G17/'Historical FS'!F17-1,0)</f>
        <v>-0.29963459196102316</v>
      </c>
      <c r="H6" s="37">
        <f>IFERROR('Historical FS'!H17/'Historical FS'!G17-1,0)</f>
        <v>0.93855072463768119</v>
      </c>
      <c r="I6" s="37">
        <f>IFERROR('Historical FS'!I17/'Historical FS'!H17-1,0)</f>
        <v>0.45992822966507174</v>
      </c>
      <c r="J6" s="37">
        <f>IFERROR('Historical FS'!J17/'Historical FS'!I17-1,0)</f>
        <v>8.3981974600573439E-2</v>
      </c>
      <c r="K6" s="37">
        <f>IFERROR('Historical FS'!K17/'Historical FS'!J17-1,0)</f>
        <v>7.5963718820861725E-2</v>
      </c>
      <c r="L6" s="37">
        <f>IFERROR('Historical FS'!L17/'Historical FS'!K17-1,0)</f>
        <v>0.46768528275377586</v>
      </c>
      <c r="N6" s="37">
        <f t="shared" ref="N6:N7" si="0">IFERROR(AVERAGE(D6:L6),0)</f>
        <v>0.28745505481853156</v>
      </c>
      <c r="O6" s="37">
        <f t="shared" ref="O6:O9" si="1">IFERROR(MEDIAN(D6:L6),0)</f>
        <v>0.23533571740253434</v>
      </c>
    </row>
    <row r="7" spans="2:15" x14ac:dyDescent="0.35">
      <c r="B7" t="s">
        <v>125</v>
      </c>
      <c r="D7" s="37">
        <f>IFERROR('Historical FS'!D23/'Historical FS'!C23-1,0)</f>
        <v>0.43612405897263229</v>
      </c>
      <c r="E7" s="37">
        <f>IFERROR('Historical FS'!E23/'Historical FS'!D23-1,0)</f>
        <v>0.21032939574423049</v>
      </c>
      <c r="F7" s="37">
        <f>IFERROR('Historical FS'!F23/'Historical FS'!E23-1,0)</f>
        <v>0.15513804309238322</v>
      </c>
      <c r="G7" s="37">
        <f>IFERROR('Historical FS'!G23/'Historical FS'!F23-1,0)</f>
        <v>-0.36170212765957444</v>
      </c>
      <c r="H7" s="37">
        <f>IFERROR('Historical FS'!H23/'Historical FS'!G23-1,0)</f>
        <v>1.1814814814814816</v>
      </c>
      <c r="I7" s="37">
        <f>IFERROR('Historical FS'!I23/'Historical FS'!H23-1,0)</f>
        <v>0.50797962648556871</v>
      </c>
      <c r="J7" s="37">
        <f>IFERROR('Historical FS'!J23/'Historical FS'!I23-1,0)</f>
        <v>6.0121594235532427E-2</v>
      </c>
      <c r="K7" s="37">
        <f>IFERROR('Historical FS'!K23/'Historical FS'!J23-1,0)</f>
        <v>6.2234494477485081E-2</v>
      </c>
      <c r="L7" s="37">
        <f>IFERROR('Historical FS'!L23/'Historical FS'!K23-1,0)</f>
        <v>0.5058988202359529</v>
      </c>
      <c r="N7" s="37">
        <f t="shared" si="0"/>
        <v>0.30640059856285468</v>
      </c>
      <c r="O7" s="37">
        <f t="shared" si="1"/>
        <v>0.21032939574423049</v>
      </c>
    </row>
    <row r="8" spans="2:15" x14ac:dyDescent="0.35">
      <c r="B8" t="s">
        <v>126</v>
      </c>
      <c r="D8" s="37">
        <f>IFERROR('Historical FS'!D39/'Historical FS'!C39-1,0)</f>
        <v>0.58838742322234228</v>
      </c>
      <c r="E8" s="37">
        <f>IFERROR('Historical FS'!E39/'Historical FS'!D39-1,0)</f>
        <v>0.24251165836349342</v>
      </c>
      <c r="F8" s="37">
        <f>IFERROR('Historical FS'!F39/'Historical FS'!E39-1,0)</f>
        <v>6.8974112452373282E-2</v>
      </c>
      <c r="G8" s="37">
        <f>IFERROR('Historical FS'!G39/'Historical FS'!F39-1,0)</f>
        <v>-0.35176548967355092</v>
      </c>
      <c r="H8" s="37">
        <f>IFERROR('Historical FS'!H39/'Historical FS'!G39-1,0)</f>
        <v>1.2332990750256938</v>
      </c>
      <c r="I8" s="37">
        <f>IFERROR('Historical FS'!I39/'Historical FS'!H39-1,0)</f>
        <v>0.49562816382880803</v>
      </c>
      <c r="J8" s="37">
        <f>IFERROR('Historical FS'!J39/'Historical FS'!I39-1,0)</f>
        <v>7.5692307692307725E-2</v>
      </c>
      <c r="K8" s="37">
        <f>IFERROR('Historical FS'!K39/'Historical FS'!J39-1,0)</f>
        <v>-4.5480549199084619E-2</v>
      </c>
      <c r="L8" s="37">
        <f>IFERROR('Historical FS'!L39/'Historical FS'!K39-1,0)</f>
        <v>0.52022774947557693</v>
      </c>
      <c r="N8" s="37">
        <f>IFERROR(AVERAGE(D8:L8),0)</f>
        <v>0.31416382790977337</v>
      </c>
      <c r="O8" s="37">
        <f t="shared" si="1"/>
        <v>0.24251165836349342</v>
      </c>
    </row>
    <row r="9" spans="2:15" x14ac:dyDescent="0.35">
      <c r="B9" s="42" t="s">
        <v>127</v>
      </c>
      <c r="C9" s="42"/>
      <c r="D9" s="43">
        <f>IFERROR('Historical FS'!D47/'Historical FS'!C47-1,0)</f>
        <v>0.44227353463587948</v>
      </c>
      <c r="E9" s="43">
        <f>IFERROR('Historical FS'!E47/'Historical FS'!D47-1,0)</f>
        <v>0.33335335816412348</v>
      </c>
      <c r="F9" s="43">
        <f>IFERROR('Historical FS'!F47/'Historical FS'!E47-1,0)</f>
        <v>-0.19801757152511834</v>
      </c>
      <c r="G9" s="43">
        <f>IFERROR('Historical FS'!G47/'Historical FS'!F47-1,0)</f>
        <v>0</v>
      </c>
      <c r="H9" s="43">
        <f>IFERROR('Historical FS'!H47/'Historical FS'!G47-1,0)</f>
        <v>0.87500000000000022</v>
      </c>
      <c r="I9" s="43">
        <f>IFERROR('Historical FS'!I47/'Historical FS'!H47-1,0)</f>
        <v>0.33003745318352062</v>
      </c>
      <c r="J9" s="43">
        <f>IFERROR('Historical FS'!J47/'Historical FS'!I47-1,0)</f>
        <v>0.10000000000000009</v>
      </c>
      <c r="K9" s="43">
        <f>IFERROR('Historical FS'!K47/'Historical FS'!J47-1,0)</f>
        <v>0</v>
      </c>
      <c r="L9" s="43">
        <f>IFERROR('Historical FS'!L47/'Historical FS'!K47-1,0)</f>
        <v>0.36363636363636354</v>
      </c>
      <c r="M9" s="42"/>
      <c r="N9" s="43">
        <f>IFERROR(AVERAGE(D9:L9),0)</f>
        <v>0.24958701534386321</v>
      </c>
      <c r="O9" s="43">
        <f t="shared" si="1"/>
        <v>0.33003745318352062</v>
      </c>
    </row>
    <row r="10" spans="2:15" x14ac:dyDescent="0.35">
      <c r="N10" s="37"/>
      <c r="O10" s="37"/>
    </row>
    <row r="11" spans="2:15" x14ac:dyDescent="0.35">
      <c r="B11" s="40" t="s">
        <v>25</v>
      </c>
      <c r="C11" s="41">
        <f>IFERROR('Historical FS'!C12,0)</f>
        <v>0.20020013830205197</v>
      </c>
      <c r="D11" s="41">
        <f>IFERROR('Historical FS'!D12,0)</f>
        <v>0.20826227669501496</v>
      </c>
      <c r="E11" s="41">
        <f>IFERROR('Historical FS'!E12,0)</f>
        <v>0.20820769198099762</v>
      </c>
      <c r="F11" s="41">
        <f>IFERROR('Historical FS'!F12,0)</f>
        <v>0.21024130723921719</v>
      </c>
      <c r="G11" s="41">
        <f>IFERROR('Historical FS'!G12,0)</f>
        <v>0.18402328589909445</v>
      </c>
      <c r="H11" s="41">
        <f>IFERROR('Historical FS'!H12,0)</f>
        <v>0.19354838709677419</v>
      </c>
      <c r="I11" s="41">
        <f>IFERROR('Historical FS'!I12,0)</f>
        <v>0.20406654343807765</v>
      </c>
      <c r="J11" s="41">
        <f>IFERROR('Historical FS'!J12,0)</f>
        <v>0.18440216114634719</v>
      </c>
      <c r="K11" s="41">
        <f>IFERROR('Historical FS'!K12,0)</f>
        <v>0.17255524679105466</v>
      </c>
      <c r="L11" s="41">
        <f>IFERROR('Historical FS'!L12,0)</f>
        <v>0.16125091340884179</v>
      </c>
      <c r="M11" s="40"/>
      <c r="N11" s="41">
        <f>IFERROR(AVERAGE(C11:L11),0)</f>
        <v>0.19267579519974717</v>
      </c>
      <c r="O11" s="41">
        <f>IFERROR(MEDIAN(C11:L11),0)</f>
        <v>0.19687426269941308</v>
      </c>
    </row>
    <row r="12" spans="2:15" x14ac:dyDescent="0.35">
      <c r="B12" t="s">
        <v>128</v>
      </c>
      <c r="C12" s="37">
        <f>IFERROR('Historical FS'!C18,0)</f>
        <v>8.7769770067182798E-2</v>
      </c>
      <c r="D12" s="37">
        <f>IFERROR('Historical FS'!D18,0)</f>
        <v>0.10199897393076955</v>
      </c>
      <c r="E12" s="37">
        <f>IFERROR('Historical FS'!E18,0)</f>
        <v>0.10080582369156038</v>
      </c>
      <c r="F12" s="37">
        <f>IFERROR('Historical FS'!F18,0)</f>
        <v>0.1169960098802964</v>
      </c>
      <c r="G12" s="37">
        <f>IFERROR('Historical FS'!G18,0)</f>
        <v>7.9698761781556091E-2</v>
      </c>
      <c r="H12" s="37">
        <f>IFERROR('Historical FS'!H18,0)</f>
        <v>0.11611514288690579</v>
      </c>
      <c r="I12" s="37">
        <f>IFERROR('Historical FS'!I18,0)</f>
        <v>0.12032039433148491</v>
      </c>
      <c r="J12" s="37">
        <f>IFERROR('Historical FS'!J18,0)</f>
        <v>0.10359408033826638</v>
      </c>
      <c r="K12" s="37">
        <f>IFERROR('Historical FS'!K18,0)</f>
        <v>9.4184200079396582E-2</v>
      </c>
      <c r="L12" s="37">
        <f>IFERROR('Historical FS'!L18,0)</f>
        <v>9.5416971136280601E-2</v>
      </c>
      <c r="N12" s="37">
        <f t="shared" ref="N12:N23" si="2">IFERROR(AVERAGE(C12:L12),0)</f>
        <v>0.10169001281236993</v>
      </c>
      <c r="O12" s="37">
        <f t="shared" ref="O12:O31" si="3">IFERROR(MEDIAN(C12:L12),0)</f>
        <v>0.10140239881116497</v>
      </c>
    </row>
    <row r="13" spans="2:15" x14ac:dyDescent="0.35">
      <c r="B13" t="s">
        <v>129</v>
      </c>
      <c r="C13" s="37">
        <f>IFERROR('Historical FS'!C24,0)</f>
        <v>7.943469601827334E-2</v>
      </c>
      <c r="D13" s="37">
        <f>IFERROR('Historical FS'!D24,0)</f>
        <v>9.3845631792513234E-2</v>
      </c>
      <c r="E13" s="37">
        <f>IFERROR('Historical FS'!E24,0)</f>
        <v>9.2572649520793304E-2</v>
      </c>
      <c r="F13" s="37">
        <f>IFERROR('Historical FS'!F24,0)</f>
        <v>0.10046551396541896</v>
      </c>
      <c r="G13" s="37">
        <f>IFERROR('Historical FS'!G24,0)</f>
        <v>6.237294400295694E-2</v>
      </c>
      <c r="H13" s="37">
        <f>IFERROR('Historical FS'!H24,0)</f>
        <v>0.10226049515608181</v>
      </c>
      <c r="I13" s="37">
        <f>IFERROR('Historical FS'!I24,0)</f>
        <v>0.10945163277880468</v>
      </c>
      <c r="J13" s="37">
        <f>IFERROR('Historical FS'!J24,0)</f>
        <v>9.2161929371231702E-2</v>
      </c>
      <c r="K13" s="37">
        <f>IFERROR('Historical FS'!K24,0)</f>
        <v>8.2721317983326714E-2</v>
      </c>
      <c r="L13" s="37">
        <f>IFERROR('Historical FS'!L24,0)</f>
        <v>8.5986024844720496E-2</v>
      </c>
      <c r="N13" s="37">
        <f t="shared" si="2"/>
        <v>9.0127283543412123E-2</v>
      </c>
      <c r="O13" s="37">
        <f t="shared" si="3"/>
        <v>9.2367289446012496E-2</v>
      </c>
    </row>
    <row r="14" spans="2:15" x14ac:dyDescent="0.35">
      <c r="B14" t="s">
        <v>143</v>
      </c>
      <c r="C14" s="37">
        <f>IFERROR('Historical FS'!C33,0)</f>
        <v>7.3392841926184088E-2</v>
      </c>
      <c r="D14" s="37">
        <f>IFERROR('Historical FS'!D33,0)</f>
        <v>9.4900857766581109E-2</v>
      </c>
      <c r="E14" s="37">
        <f>IFERROR('Historical FS'!E33,0)</f>
        <v>9.8940163369150014E-2</v>
      </c>
      <c r="F14" s="37">
        <f>IFERROR('Historical FS'!F33,0)</f>
        <v>9.9847995439863196E-2</v>
      </c>
      <c r="G14" s="37">
        <f>IFERROR('Historical FS'!G33,0)</f>
        <v>6.1310293845869522E-2</v>
      </c>
      <c r="H14" s="37">
        <f>IFERROR('Historical FS'!H33,0)</f>
        <v>0.10083683461231292</v>
      </c>
      <c r="I14" s="37">
        <f>IFERROR('Historical FS'!I33,0)</f>
        <v>0.10959950708564387</v>
      </c>
      <c r="J14" s="37">
        <f>IFERROR('Historical FS'!J33,0)</f>
        <v>9.0498003288700959E-2</v>
      </c>
      <c r="K14" s="37">
        <f>IFERROR('Historical FS'!K33,0)</f>
        <v>7.5013232764324464E-2</v>
      </c>
      <c r="L14" s="37">
        <f>IFERROR('Historical FS'!L33,0)</f>
        <v>7.7651169163317504E-2</v>
      </c>
      <c r="N14" s="37">
        <f t="shared" si="2"/>
        <v>8.8199089926194768E-2</v>
      </c>
      <c r="O14" s="37">
        <f t="shared" si="3"/>
        <v>9.2699430527641041E-2</v>
      </c>
    </row>
    <row r="15" spans="2:15" x14ac:dyDescent="0.35">
      <c r="B15" s="42" t="s">
        <v>130</v>
      </c>
      <c r="C15" s="43">
        <f>IFERROR('Historical FS'!C40,0)</f>
        <v>5.3651996142021277E-2</v>
      </c>
      <c r="D15" s="43">
        <f>IFERROR('Historical FS'!D40,0)</f>
        <v>7.010583897909213E-2</v>
      </c>
      <c r="E15" s="43">
        <f>IFERROR('Historical FS'!E40,0)</f>
        <v>7.0993684057249984E-2</v>
      </c>
      <c r="F15" s="43">
        <f>IFERROR('Historical FS'!F40,0)</f>
        <v>7.1299638989169675E-2</v>
      </c>
      <c r="G15" s="43">
        <f>IFERROR('Historical FS'!G40,0)</f>
        <v>4.495472186287193E-2</v>
      </c>
      <c r="H15" s="43">
        <f>IFERROR('Historical FS'!H40,0)</f>
        <v>7.5454008819750687E-2</v>
      </c>
      <c r="I15" s="43">
        <f>IFERROR('Historical FS'!I40,0)</f>
        <v>8.0098582871226121E-2</v>
      </c>
      <c r="J15" s="43">
        <f>IFERROR('Historical FS'!J40,0)</f>
        <v>6.8436300994440535E-2</v>
      </c>
      <c r="K15" s="43">
        <f>IFERROR('Historical FS'!K40,0)</f>
        <v>5.5197168188434564E-2</v>
      </c>
      <c r="L15" s="43">
        <f>IFERROR('Historical FS'!L40,0)</f>
        <v>5.792153818048959E-2</v>
      </c>
      <c r="M15" s="42"/>
      <c r="N15" s="43">
        <f t="shared" si="2"/>
        <v>6.4811347908474648E-2</v>
      </c>
      <c r="O15" s="43">
        <f t="shared" si="3"/>
        <v>6.9271069986766326E-2</v>
      </c>
    </row>
    <row r="16" spans="2:15" x14ac:dyDescent="0.35">
      <c r="C16" s="37"/>
      <c r="D16" s="37"/>
      <c r="E16" s="37"/>
      <c r="F16" s="37"/>
      <c r="G16" s="37"/>
      <c r="H16" s="37"/>
      <c r="I16" s="37"/>
      <c r="J16" s="37"/>
      <c r="K16" s="37"/>
      <c r="L16" s="37"/>
      <c r="N16" s="37"/>
      <c r="O16" s="37"/>
    </row>
    <row r="17" spans="2:15" x14ac:dyDescent="0.35">
      <c r="B17" s="40" t="s">
        <v>131</v>
      </c>
      <c r="C17" s="41">
        <f>IFERROR('Historical FS'!C15,0)</f>
        <v>0.11243036823486917</v>
      </c>
      <c r="D17" s="41">
        <f>IFERROR('Historical FS'!D15,0)</f>
        <v>0.10626330276424539</v>
      </c>
      <c r="E17" s="41">
        <f>IFERROR('Historical FS'!E15,0)</f>
        <v>0.10740186828943722</v>
      </c>
      <c r="F17" s="41">
        <f>IFERROR('Historical FS'!F15,0)</f>
        <v>9.3245297358920773E-2</v>
      </c>
      <c r="G17" s="41">
        <f>IFERROR('Historical FS'!G15,0)</f>
        <v>0.10432452411753834</v>
      </c>
      <c r="H17" s="41">
        <f>IFERROR('Historical FS'!H15,0)</f>
        <v>7.7433244209868399E-2</v>
      </c>
      <c r="I17" s="41">
        <f>IFERROR('Historical FS'!I15,0)</f>
        <v>8.3746149106592727E-2</v>
      </c>
      <c r="J17" s="41">
        <f>IFERROR('Historical FS'!J15,0)</f>
        <v>8.0808080808080815E-2</v>
      </c>
      <c r="K17" s="41">
        <f>IFERROR('Historical FS'!K15,0)</f>
        <v>7.8371046711658066E-2</v>
      </c>
      <c r="L17" s="41">
        <f>IFERROR('Historical FS'!L15,0)</f>
        <v>6.5833942272561202E-2</v>
      </c>
      <c r="M17" s="40"/>
      <c r="N17" s="41">
        <f>IFERROR(AVERAGE(C17:L17),0)</f>
        <v>9.0985782387377215E-2</v>
      </c>
      <c r="O17" s="41">
        <f>IFERROR(MEDIAN(C17:L17),0)</f>
        <v>8.8495723232756757E-2</v>
      </c>
    </row>
    <row r="18" spans="2:15" x14ac:dyDescent="0.35">
      <c r="B18" t="s">
        <v>132</v>
      </c>
      <c r="C18" s="37">
        <f>IFERROR('Historical FS'!C21,0)</f>
        <v>8.3350740489094577E-3</v>
      </c>
      <c r="D18" s="37">
        <f>IFERROR('Historical FS'!D21,0)</f>
        <v>8.1533421382563153E-3</v>
      </c>
      <c r="E18" s="37">
        <f>IFERROR('Historical FS'!E21,0)</f>
        <v>8.2331741707670752E-3</v>
      </c>
      <c r="F18" s="37">
        <f>IFERROR('Historical FS'!F21,0)</f>
        <v>1.6530495914877447E-2</v>
      </c>
      <c r="G18" s="37">
        <f>IFERROR('Historical FS'!G21,0)</f>
        <v>1.7325817778599151E-2</v>
      </c>
      <c r="H18" s="37">
        <f>IFERROR('Historical FS'!H21,0)</f>
        <v>1.3854647730823988E-2</v>
      </c>
      <c r="I18" s="37">
        <f>IFERROR('Historical FS'!I21,0)</f>
        <v>1.0868761552680222E-2</v>
      </c>
      <c r="J18" s="37">
        <f>IFERROR('Historical FS'!J21,0)</f>
        <v>1.1432150967034689E-2</v>
      </c>
      <c r="K18" s="37">
        <f>IFERROR('Historical FS'!K21,0)</f>
        <v>1.146288209606987E-2</v>
      </c>
      <c r="L18" s="37">
        <f>IFERROR('Historical FS'!L21,0)</f>
        <v>9.4309462915601015E-3</v>
      </c>
      <c r="N18" s="37">
        <f t="shared" si="2"/>
        <v>1.1562729268957832E-2</v>
      </c>
      <c r="O18" s="37">
        <f t="shared" si="3"/>
        <v>1.1150456259857455E-2</v>
      </c>
    </row>
    <row r="19" spans="2:15" x14ac:dyDescent="0.35">
      <c r="B19" s="42" t="s">
        <v>133</v>
      </c>
      <c r="C19" s="43">
        <f>C13</f>
        <v>7.943469601827334E-2</v>
      </c>
      <c r="D19" s="43">
        <f t="shared" ref="D19:L19" si="4">D13</f>
        <v>9.3845631792513234E-2</v>
      </c>
      <c r="E19" s="43">
        <f t="shared" si="4"/>
        <v>9.2572649520793304E-2</v>
      </c>
      <c r="F19" s="43">
        <f t="shared" si="4"/>
        <v>0.10046551396541896</v>
      </c>
      <c r="G19" s="43">
        <f t="shared" si="4"/>
        <v>6.237294400295694E-2</v>
      </c>
      <c r="H19" s="43">
        <f t="shared" si="4"/>
        <v>0.10226049515608181</v>
      </c>
      <c r="I19" s="43">
        <f t="shared" si="4"/>
        <v>0.10945163277880468</v>
      </c>
      <c r="J19" s="43">
        <f t="shared" si="4"/>
        <v>9.2161929371231702E-2</v>
      </c>
      <c r="K19" s="43">
        <f t="shared" si="4"/>
        <v>8.2721317983326714E-2</v>
      </c>
      <c r="L19" s="43">
        <f t="shared" si="4"/>
        <v>8.5986024844720496E-2</v>
      </c>
      <c r="M19" s="42"/>
      <c r="N19" s="43">
        <f t="shared" si="2"/>
        <v>9.0127283543412123E-2</v>
      </c>
      <c r="O19" s="43">
        <f t="shared" si="3"/>
        <v>9.2367289446012496E-2</v>
      </c>
    </row>
    <row r="20" spans="2:15" x14ac:dyDescent="0.35">
      <c r="C20" s="37"/>
      <c r="D20" s="37"/>
      <c r="E20" s="37"/>
      <c r="F20" s="37"/>
      <c r="G20" s="37"/>
      <c r="H20" s="37"/>
      <c r="I20" s="37"/>
      <c r="J20" s="37"/>
      <c r="K20" s="37"/>
      <c r="L20" s="37"/>
      <c r="N20" s="37"/>
      <c r="O20" s="37"/>
    </row>
    <row r="21" spans="2:15" x14ac:dyDescent="0.35">
      <c r="B21" s="40" t="s">
        <v>134</v>
      </c>
      <c r="C21" s="41">
        <f>IFERROR('Historical FS'!C23/(SUM('Historical FS'!C53:C55)),0)</f>
        <v>0.17226536883402749</v>
      </c>
      <c r="D21" s="41">
        <f>IFERROR('Historical FS'!D23/(SUM('Historical FS'!D53:D55)),0)</f>
        <v>0.22309313379217197</v>
      </c>
      <c r="E21" s="41">
        <f>IFERROR('Historical FS'!E23/(SUM('Historical FS'!E53:E55)),0)</f>
        <v>0.21634430760250653</v>
      </c>
      <c r="F21" s="41">
        <f>IFERROR('Historical FS'!F23/(SUM('Historical FS'!F53:F55)),0)</f>
        <v>0.20672466034600723</v>
      </c>
      <c r="G21" s="41">
        <f>IFERROR('Historical FS'!G23/(SUM('Historical FS'!G53:G55)),0)</f>
        <v>0.10277883517320137</v>
      </c>
      <c r="H21" s="41">
        <f>IFERROR('Historical FS'!H23/(SUM('Historical FS'!H53:H55)),0)</f>
        <v>0.1776450717818796</v>
      </c>
      <c r="I21" s="41">
        <f>IFERROR('Historical FS'!I23/(SUM('Historical FS'!I53:I55)),0)</f>
        <v>0.20930342162315016</v>
      </c>
      <c r="J21" s="41">
        <f>IFERROR('Historical FS'!J23/(SUM('Historical FS'!J53:J55)),0)</f>
        <v>0.18891697764937201</v>
      </c>
      <c r="K21" s="41">
        <f>IFERROR('Historical FS'!K23/(SUM('Historical FS'!K53:K55)),0)</f>
        <v>0.15434708805283787</v>
      </c>
      <c r="L21" s="41">
        <f>IFERROR('Historical FS'!L23/(SUM('Historical FS'!L53:L55)),0)</f>
        <v>0.16257231672567135</v>
      </c>
      <c r="M21" s="40"/>
      <c r="N21" s="41">
        <f t="shared" si="2"/>
        <v>0.18139911815808257</v>
      </c>
      <c r="O21" s="41">
        <f t="shared" si="3"/>
        <v>0.1832810247156258</v>
      </c>
    </row>
    <row r="22" spans="2:15" x14ac:dyDescent="0.35">
      <c r="B22" t="s">
        <v>135</v>
      </c>
      <c r="C22" s="37">
        <f>IFERROR('Historical FS'!C50,0)</f>
        <v>0.67555905379004044</v>
      </c>
      <c r="D22" s="37">
        <f>IFERROR('Historical FS'!D50,0)</f>
        <v>0.70540399437212953</v>
      </c>
      <c r="E22" s="37">
        <f>IFERROR('Historical FS'!E50,0)</f>
        <v>0.68386568386568392</v>
      </c>
      <c r="F22" s="37">
        <f>IFERROR('Historical FS'!F50,0)</f>
        <v>0.76282478347768157</v>
      </c>
      <c r="G22" s="37">
        <f>IFERROR('Historical FS'!G50,0)</f>
        <v>0.63412127440904431</v>
      </c>
      <c r="H22" s="37">
        <f>IFERROR('Historical FS'!H50,0)</f>
        <v>0.69282098481362175</v>
      </c>
      <c r="I22" s="37">
        <f>IFERROR('Historical FS'!I50,0)</f>
        <v>0.72615384615384615</v>
      </c>
      <c r="J22" s="37">
        <f>IFERROR('Historical FS'!J50,0)</f>
        <v>0.71996567505720821</v>
      </c>
      <c r="K22" s="37">
        <f>IFERROR('Historical FS'!K50,0)</f>
        <v>0.70662271501348517</v>
      </c>
      <c r="L22" s="37">
        <f>IFERROR('Historical FS'!L50,0)</f>
        <v>0.73684210526315796</v>
      </c>
      <c r="N22" s="37">
        <f t="shared" si="2"/>
        <v>0.70441801162159001</v>
      </c>
      <c r="O22" s="37">
        <f t="shared" si="3"/>
        <v>0.70601335469280735</v>
      </c>
    </row>
    <row r="23" spans="2:15" x14ac:dyDescent="0.35">
      <c r="B23" t="s">
        <v>136</v>
      </c>
      <c r="C23" s="37">
        <f>IFERROR('Historical FS'!C39/('Historical FS'!C53+'Historical FS'!C54),0)</f>
        <v>0.16810163548641663</v>
      </c>
      <c r="D23" s="37">
        <f>IFERROR('Historical FS'!D39/('Historical FS'!D53+'Historical FS'!D54),0)</f>
        <v>0.22202684542661122</v>
      </c>
      <c r="E23" s="37">
        <f>IFERROR('Historical FS'!E39/('Historical FS'!E53+'Historical FS'!E54),0)</f>
        <v>0.23132047807714803</v>
      </c>
      <c r="F23" s="37">
        <f>IFERROR('Historical FS'!F39/('Historical FS'!F53+'Historical FS'!F54),0)</f>
        <v>0.22507122507122507</v>
      </c>
      <c r="G23" s="37">
        <f>IFERROR('Historical FS'!G39/('Historical FS'!G53+'Historical FS'!G54),0)</f>
        <v>0.12978524743230627</v>
      </c>
      <c r="H23" s="37">
        <f>IFERROR('Historical FS'!H39/('Historical FS'!H53+'Historical FS'!H54),0)</f>
        <v>0.23358056540900785</v>
      </c>
      <c r="I23" s="37">
        <f>IFERROR('Historical FS'!I39/('Historical FS'!I53+'Historical FS'!I54),0)</f>
        <v>0.27423846088937642</v>
      </c>
      <c r="J23" s="37">
        <f>IFERROR('Historical FS'!J39/('Historical FS'!J53+'Historical FS'!J54),0)</f>
        <v>0.37219205791546894</v>
      </c>
      <c r="K23" s="37">
        <f>IFERROR('Historical FS'!K39/('Historical FS'!K53+'Historical FS'!K54),0)</f>
        <v>0.28707845836200963</v>
      </c>
      <c r="L23" s="37">
        <f>IFERROR('Historical FS'!L39/('Historical FS'!L53+'Historical FS'!L54),0)</f>
        <v>0.32305928803413358</v>
      </c>
      <c r="N23" s="37">
        <f t="shared" si="2"/>
        <v>0.24664542621037033</v>
      </c>
      <c r="O23" s="37">
        <f t="shared" si="3"/>
        <v>0.23245052174307795</v>
      </c>
    </row>
    <row r="24" spans="2:15" x14ac:dyDescent="0.35">
      <c r="B24" t="s">
        <v>144</v>
      </c>
      <c r="C24" s="37">
        <f>IFERROR(C22*C23,0)</f>
        <v>0.11356258180976191</v>
      </c>
      <c r="D24" s="37">
        <f t="shared" ref="D24:L24" si="5">IFERROR(D22*D23,0)</f>
        <v>0.15661862362177492</v>
      </c>
      <c r="E24" s="37">
        <f t="shared" si="5"/>
        <v>0.15819213693236578</v>
      </c>
      <c r="F24" s="37">
        <f t="shared" si="5"/>
        <v>0.1716899085320138</v>
      </c>
      <c r="G24" s="37">
        <f t="shared" si="5"/>
        <v>8.2299586501267202E-2</v>
      </c>
      <c r="H24" s="37">
        <f t="shared" si="5"/>
        <v>0.1618295173599914</v>
      </c>
      <c r="I24" s="37">
        <f t="shared" si="5"/>
        <v>0.1991393131381318</v>
      </c>
      <c r="J24" s="37">
        <f t="shared" si="5"/>
        <v>0.26796550622804211</v>
      </c>
      <c r="K24" s="37">
        <f t="shared" si="5"/>
        <v>0.20285615966964898</v>
      </c>
      <c r="L24" s="37">
        <f t="shared" si="5"/>
        <v>0.23804368591988792</v>
      </c>
      <c r="N24" s="37">
        <f>IFERROR(AVERAGE(C24:L24),0)</f>
        <v>0.17521970197128861</v>
      </c>
      <c r="O24" s="37">
        <f t="shared" si="3"/>
        <v>0.16675971294600261</v>
      </c>
    </row>
    <row r="25" spans="2:15" x14ac:dyDescent="0.35">
      <c r="B25" s="42" t="s">
        <v>137</v>
      </c>
      <c r="C25" s="44">
        <f>IFERROR('Historical FS'!C23/'Historical FS'!C29,0)</f>
        <v>27.91123476417593</v>
      </c>
      <c r="D25" s="44">
        <f>IFERROR('Historical FS'!D23/'Historical FS'!D29,0)</f>
        <v>28.585978835978857</v>
      </c>
      <c r="E25" s="44">
        <f>IFERROR('Historical FS'!E23/'Historical FS'!E29,0)</f>
        <v>34.848686714883918</v>
      </c>
      <c r="F25" s="44">
        <f>IFERROR('Historical FS'!F23/'Historical FS'!F29,0)</f>
        <v>12.740963855421686</v>
      </c>
      <c r="G25" s="44">
        <f>IFERROR('Historical FS'!G23/'Historical FS'!G29,0)</f>
        <v>6.6502463054187189</v>
      </c>
      <c r="H25" s="44">
        <f>IFERROR('Historical FS'!H23/'Historical FS'!H29,0)</f>
        <v>13.509174311926605</v>
      </c>
      <c r="I25" s="44">
        <f>IFERROR('Historical FS'!I23/'Historical FS'!I29,0)</f>
        <v>14.803333333333333</v>
      </c>
      <c r="J25" s="44">
        <f>IFERROR('Historical FS'!J23/'Historical FS'!J29,0)</f>
        <v>7.6058158319870763</v>
      </c>
      <c r="K25" s="44">
        <f>IFERROR('Historical FS'!K23/'Historical FS'!K29,0)</f>
        <v>5.2476390346274924</v>
      </c>
      <c r="L25" s="44">
        <f>IFERROR('Historical FS'!L23/'Historical FS'!L29,0)</f>
        <v>6.3822033898305088</v>
      </c>
      <c r="M25" s="42"/>
      <c r="N25" s="44">
        <f>IFERROR(AVERAGE(C25:L25),0)</f>
        <v>15.828527637758416</v>
      </c>
      <c r="O25" s="44">
        <f t="shared" si="3"/>
        <v>13.125069083674145</v>
      </c>
    </row>
    <row r="26" spans="2:15" x14ac:dyDescent="0.35">
      <c r="C26" s="37"/>
      <c r="D26" s="37"/>
      <c r="E26" s="37"/>
      <c r="F26" s="37"/>
      <c r="G26" s="37"/>
      <c r="H26" s="37"/>
      <c r="I26" s="37"/>
      <c r="J26" s="37"/>
      <c r="K26" s="37"/>
      <c r="L26" s="37"/>
      <c r="N26" s="46"/>
      <c r="O26" s="46"/>
    </row>
    <row r="27" spans="2:15" x14ac:dyDescent="0.35">
      <c r="B27" s="40" t="s">
        <v>138</v>
      </c>
      <c r="C27" s="45">
        <f>IFERROR('Historical FS'!C5/'Historical FS'!C65,0)</f>
        <v>63.876830443159925</v>
      </c>
      <c r="D27" s="45">
        <f>IFERROR('Historical FS'!D5/'Historical FS'!D65,0)</f>
        <v>54.515776657986407</v>
      </c>
      <c r="E27" s="45">
        <f>IFERROR('Historical FS'!E5/'Historical FS'!E65,0)</f>
        <v>47.041312879058154</v>
      </c>
      <c r="F27" s="45">
        <f>IFERROR('Historical FS'!F5/'Historical FS'!F65,0)</f>
        <v>67.474358974358978</v>
      </c>
      <c r="G27" s="45">
        <f>IFERROR('Historical FS'!G5/'Historical FS'!G65,0)</f>
        <v>59.136612021857921</v>
      </c>
      <c r="H27" s="45">
        <f>IFERROR('Historical FS'!H5/'Historical FS'!H65,0)</f>
        <v>50.971681415929204</v>
      </c>
      <c r="I27" s="45">
        <f>IFERROR('Historical FS'!I5/'Historical FS'!I65,0)</f>
        <v>60.200296735905042</v>
      </c>
      <c r="J27" s="45">
        <f>IFERROR('Historical FS'!J5/'Historical FS'!J65,0)</f>
        <v>50.180746561886053</v>
      </c>
      <c r="K27" s="45">
        <f>IFERROR('Historical FS'!K5/'Historical FS'!K65,0)</f>
        <v>56.606741573033709</v>
      </c>
      <c r="L27" s="45">
        <f>IFERROR('Historical FS'!L5/'Historical FS'!L65,0)</f>
        <v>95.615720524017462</v>
      </c>
      <c r="M27" s="40"/>
      <c r="N27" s="45">
        <f t="shared" ref="N27:N31" si="6">IFERROR(AVERAGE(C27:L27),0)</f>
        <v>60.562007778719284</v>
      </c>
      <c r="O27" s="45">
        <f t="shared" si="3"/>
        <v>57.871676797445815</v>
      </c>
    </row>
    <row r="28" spans="2:15" x14ac:dyDescent="0.35">
      <c r="B28" t="s">
        <v>139</v>
      </c>
      <c r="C28" s="46">
        <f>'Data Sheet'!B18/'Historical FS'!C114</f>
        <v>12.542962962962962</v>
      </c>
      <c r="D28" s="46">
        <f>'Data Sheet'!C18/'Historical FS'!D114</f>
        <v>14.424635535307518</v>
      </c>
      <c r="E28" s="46">
        <f>'Data Sheet'!D18/'Historical FS'!E114</f>
        <v>16.744657836644592</v>
      </c>
      <c r="F28" s="46">
        <f>'Data Sheet'!E18/'Historical FS'!F114</f>
        <v>26.901006711409394</v>
      </c>
      <c r="G28" s="46">
        <f>'Data Sheet'!F18/'Historical FS'!G114</f>
        <v>20.6489226869455</v>
      </c>
      <c r="H28" s="46">
        <f>'Data Sheet'!G18/'Historical FS'!H114</f>
        <v>20.429675425038639</v>
      </c>
      <c r="I28" s="46">
        <f>'Data Sheet'!H18/'Historical FS'!I114</f>
        <v>26.844316309719932</v>
      </c>
      <c r="J28" s="46">
        <f>'Data Sheet'!I18/'Historical FS'!J114</f>
        <v>29.860283687943262</v>
      </c>
      <c r="K28" s="46">
        <f>'Data Sheet'!J18/'Historical FS'!K114</f>
        <v>28.156393275598575</v>
      </c>
      <c r="L28" s="46">
        <f>'Data Sheet'!K18/'Historical FS'!L114</f>
        <v>28.017807262569832</v>
      </c>
      <c r="N28" s="46">
        <f t="shared" si="6"/>
        <v>22.45706616941402</v>
      </c>
      <c r="O28" s="46">
        <f t="shared" si="3"/>
        <v>23.746619498332716</v>
      </c>
    </row>
    <row r="29" spans="2:15" x14ac:dyDescent="0.35">
      <c r="B29" t="s">
        <v>140</v>
      </c>
      <c r="C29" s="46">
        <f>IFERROR('Historical FS'!C8/'Historical FS'!C66,0)</f>
        <v>2.153181044878536</v>
      </c>
      <c r="D29" s="46">
        <f>IFERROR('Historical FS'!D8/'Historical FS'!D66,0)</f>
        <v>2.1540885492266457</v>
      </c>
      <c r="E29" s="46">
        <f>IFERROR('Historical FS'!E8/'Historical FS'!E66,0)</f>
        <v>2.2248729190404073</v>
      </c>
      <c r="F29" s="46">
        <f>IFERROR('Historical FS'!F8/'Historical FS'!F66,0)</f>
        <v>2.0518326545723804</v>
      </c>
      <c r="G29" s="46">
        <f>IFERROR('Historical FS'!G8/'Historical FS'!G66,0)</f>
        <v>2.1004995242626072</v>
      </c>
      <c r="H29" s="46">
        <f>IFERROR('Historical FS'!H8/'Historical FS'!H66,0)</f>
        <v>1.7065912263942979</v>
      </c>
      <c r="I29" s="46">
        <f>IFERROR('Historical FS'!I8/'Historical FS'!I66,0)</f>
        <v>1.9473589001447178</v>
      </c>
      <c r="J29" s="46">
        <f>IFERROR('Historical FS'!J8/'Historical FS'!J66,0)</f>
        <v>2.1869718125032809</v>
      </c>
      <c r="K29" s="46">
        <f>IFERROR('Historical FS'!K8/'Historical FS'!K66,0)</f>
        <v>1.7749077490774907</v>
      </c>
      <c r="L29" s="46">
        <f>IFERROR('Historical FS'!L8/'Historical FS'!L66,0)</f>
        <v>1.7186673841330744</v>
      </c>
      <c r="N29" s="46">
        <f t="shared" si="6"/>
        <v>2.001897176423344</v>
      </c>
      <c r="O29" s="46">
        <f t="shared" si="3"/>
        <v>2.0761660894174936</v>
      </c>
    </row>
    <row r="30" spans="2:15" x14ac:dyDescent="0.35">
      <c r="B30" t="s">
        <v>141</v>
      </c>
      <c r="C30" s="46">
        <f>IFERROR('Historical FS'!C5/'Historical FS'!C59,0)</f>
        <v>11.155553873073558</v>
      </c>
      <c r="D30" s="46">
        <f>IFERROR('Historical FS'!D5/'Historical FS'!D59,0)</f>
        <v>10.93748176494935</v>
      </c>
      <c r="E30" s="46">
        <f>IFERROR('Historical FS'!E5/'Historical FS'!E59,0)</f>
        <v>12.624882710020872</v>
      </c>
      <c r="F30" s="46">
        <f>IFERROR('Historical FS'!F5/'Historical FS'!F59,0)</f>
        <v>7.995442461071022</v>
      </c>
      <c r="G30" s="46">
        <f>IFERROR('Historical FS'!G5/'Historical FS'!G59,0)</f>
        <v>8.5786761791518042</v>
      </c>
      <c r="H30" s="46">
        <f>IFERROR('Historical FS'!H5/'Historical FS'!H59,0)</f>
        <v>11.320361635220126</v>
      </c>
      <c r="I30" s="46">
        <f>IFERROR('Historical FS'!I5/'Historical FS'!I59,0)</f>
        <v>13.534022681787858</v>
      </c>
      <c r="J30" s="46">
        <f>IFERROR('Historical FS'!J5/'Historical FS'!J59,0)</f>
        <v>13.772984631976273</v>
      </c>
      <c r="K30" s="46">
        <f>IFERROR('Historical FS'!K5/'Historical FS'!K59,0)</f>
        <v>14.883308714918758</v>
      </c>
      <c r="L30" s="46">
        <f>IFERROR('Historical FS'!L5/'Historical FS'!L59,0)</f>
        <v>12.733934283221867</v>
      </c>
      <c r="N30" s="46">
        <f t="shared" si="6"/>
        <v>11.753664893539149</v>
      </c>
      <c r="O30" s="46">
        <f t="shared" si="3"/>
        <v>11.972622172620499</v>
      </c>
    </row>
    <row r="31" spans="2:15" x14ac:dyDescent="0.35">
      <c r="B31" s="42" t="s">
        <v>142</v>
      </c>
      <c r="C31" s="44">
        <f>IFERROR('Historical FS'!C5/SUM('Historical FS'!C53:C55),0)</f>
        <v>2.1686413805171378</v>
      </c>
      <c r="D31" s="44">
        <f>IFERROR('Historical FS'!D5/SUM('Historical FS'!D53:D55),0)</f>
        <v>2.3772351416996882</v>
      </c>
      <c r="E31" s="44">
        <f>IFERROR('Historical FS'!E5/SUM('Historical FS'!E53:E55),0)</f>
        <v>2.337021881975109</v>
      </c>
      <c r="F31" s="44">
        <f>IFERROR('Historical FS'!F5/SUM('Historical FS'!F53:F55),0)</f>
        <v>2.0576678721532597</v>
      </c>
      <c r="G31" s="44">
        <f>IFERROR('Historical FS'!G5/SUM('Historical FS'!G53:G55),0)</f>
        <v>1.6478111914731632</v>
      </c>
      <c r="H31" s="44">
        <f>IFERROR('Historical FS'!H5/SUM('Historical FS'!H53:H55),0)</f>
        <v>1.7371818072143805</v>
      </c>
      <c r="I31" s="44">
        <f>IFERROR('Historical FS'!I5/SUM('Historical FS'!I53:I55),0)</f>
        <v>1.9122914506551041</v>
      </c>
      <c r="J31" s="44">
        <f>IFERROR('Historical FS'!J5/SUM('Historical FS'!J53:J55),0)</f>
        <v>2.0498374864572049</v>
      </c>
      <c r="K31" s="44">
        <f>IFERROR('Historical FS'!K5/SUM('Historical FS'!K53:K55),0)</f>
        <v>1.865868337396994</v>
      </c>
      <c r="L31" s="44">
        <f>IFERROR('Historical FS'!L5/SUM('Historical FS'!L53:L55),0)</f>
        <v>1.8906830152836542</v>
      </c>
      <c r="M31" s="42"/>
      <c r="N31" s="44">
        <f t="shared" si="6"/>
        <v>2.0044239564825692</v>
      </c>
      <c r="O31" s="44">
        <f t="shared" si="3"/>
        <v>1.9810644685561545</v>
      </c>
    </row>
    <row r="32" spans="2:15" x14ac:dyDescent="0.35">
      <c r="C32" s="37"/>
      <c r="N32" s="46"/>
    </row>
    <row r="33" spans="2:15" x14ac:dyDescent="0.35">
      <c r="B33" s="38" t="s">
        <v>152</v>
      </c>
      <c r="N33" s="46"/>
      <c r="O33" s="46"/>
    </row>
    <row r="34" spans="2:15" x14ac:dyDescent="0.35">
      <c r="B34" s="40" t="s">
        <v>148</v>
      </c>
      <c r="C34" s="47">
        <f t="shared" ref="C34:L35" si="7">IFERROR(365/C27,0)</f>
        <v>5.714121966724556</v>
      </c>
      <c r="D34" s="47">
        <f t="shared" si="7"/>
        <v>6.6953095484612994</v>
      </c>
      <c r="E34" s="47">
        <f t="shared" si="7"/>
        <v>7.7591371851887798</v>
      </c>
      <c r="F34" s="47">
        <f t="shared" si="7"/>
        <v>5.4094622838685158</v>
      </c>
      <c r="G34" s="47">
        <f t="shared" si="7"/>
        <v>6.172149325448161</v>
      </c>
      <c r="H34" s="47">
        <f t="shared" si="7"/>
        <v>7.160838918017987</v>
      </c>
      <c r="I34" s="47">
        <f t="shared" si="7"/>
        <v>6.0630930375847196</v>
      </c>
      <c r="J34" s="47">
        <f t="shared" si="7"/>
        <v>7.2737060527758199</v>
      </c>
      <c r="K34" s="47">
        <f t="shared" si="7"/>
        <v>6.4479952362048429</v>
      </c>
      <c r="L34" s="47">
        <f t="shared" si="7"/>
        <v>3.8173639020825725</v>
      </c>
      <c r="M34" s="40"/>
      <c r="N34" s="47">
        <f>IFERROR(AVERAGE(C34:L34),0)</f>
        <v>6.2513177456357258</v>
      </c>
      <c r="O34" s="47">
        <f>IFERROR(MEDIAN(C34:L34),0)</f>
        <v>6.3100722808265015</v>
      </c>
    </row>
    <row r="35" spans="2:15" x14ac:dyDescent="0.35">
      <c r="B35" t="s">
        <v>145</v>
      </c>
      <c r="C35" s="48">
        <f t="shared" si="7"/>
        <v>29.099982283115811</v>
      </c>
      <c r="D35" s="48">
        <f t="shared" si="7"/>
        <v>25.303932228067804</v>
      </c>
      <c r="E35" s="48">
        <f t="shared" si="7"/>
        <v>21.797996923007965</v>
      </c>
      <c r="F35" s="48">
        <f t="shared" si="7"/>
        <v>13.56826545250421</v>
      </c>
      <c r="G35" s="48">
        <f t="shared" si="7"/>
        <v>17.676466977657746</v>
      </c>
      <c r="H35" s="48">
        <f t="shared" si="7"/>
        <v>17.866167347556363</v>
      </c>
      <c r="I35" s="48">
        <f t="shared" si="7"/>
        <v>13.59691920586701</v>
      </c>
      <c r="J35" s="48">
        <f t="shared" si="7"/>
        <v>12.223594518205354</v>
      </c>
      <c r="K35" s="48">
        <f t="shared" si="7"/>
        <v>12.963308063903312</v>
      </c>
      <c r="L35" s="48">
        <f t="shared" si="7"/>
        <v>13.027429183854043</v>
      </c>
      <c r="N35" s="48">
        <f>IFERROR(AVERAGE(C35:L35),0)</f>
        <v>17.712406218373964</v>
      </c>
      <c r="O35" s="48">
        <f>IFERROR(MEDIAN(C35:L35),0)</f>
        <v>15.636693091762378</v>
      </c>
    </row>
    <row r="36" spans="2:15" x14ac:dyDescent="0.35">
      <c r="B36" t="s">
        <v>146</v>
      </c>
      <c r="C36" s="48">
        <f t="shared" ref="C36:L36" si="8">IFERROR(365/C29,0)</f>
        <v>169.51663255078961</v>
      </c>
      <c r="D36" s="48">
        <f t="shared" si="8"/>
        <v>169.44521622894342</v>
      </c>
      <c r="E36" s="48">
        <f t="shared" si="8"/>
        <v>164.05431378859396</v>
      </c>
      <c r="F36" s="48">
        <f t="shared" si="8"/>
        <v>177.88975099242154</v>
      </c>
      <c r="G36" s="48">
        <f t="shared" si="8"/>
        <v>173.76818979672723</v>
      </c>
      <c r="H36" s="48">
        <f t="shared" si="8"/>
        <v>213.87664155005382</v>
      </c>
      <c r="I36" s="48">
        <f t="shared" si="8"/>
        <v>187.43334881560614</v>
      </c>
      <c r="J36" s="48">
        <f t="shared" si="8"/>
        <v>166.89744143625191</v>
      </c>
      <c r="K36" s="48">
        <f t="shared" si="8"/>
        <v>205.64449064449065</v>
      </c>
      <c r="L36" s="48">
        <f t="shared" si="8"/>
        <v>212.37384462503914</v>
      </c>
      <c r="N36" s="48">
        <f t="shared" ref="N36:N37" si="9">IFERROR(AVERAGE(C36:L36),0)</f>
        <v>184.08998704289175</v>
      </c>
      <c r="O36" s="48">
        <f t="shared" ref="O36:O37" si="10">IFERROR(MEDIAN(C36:L36),0)</f>
        <v>175.82897039457438</v>
      </c>
    </row>
    <row r="37" spans="2:15" x14ac:dyDescent="0.35">
      <c r="B37" s="42" t="s">
        <v>147</v>
      </c>
      <c r="C37" s="49">
        <f>IFERROR(C34+C36-C35,0)</f>
        <v>146.13077223439834</v>
      </c>
      <c r="D37" s="49">
        <f t="shared" ref="D37:L37" si="11">IFERROR(D34+D36-D35,0)</f>
        <v>150.83659354933692</v>
      </c>
      <c r="E37" s="49">
        <f t="shared" si="11"/>
        <v>150.01545405077479</v>
      </c>
      <c r="F37" s="49">
        <f t="shared" si="11"/>
        <v>169.73094782378584</v>
      </c>
      <c r="G37" s="49">
        <f t="shared" si="11"/>
        <v>162.26387214451765</v>
      </c>
      <c r="H37" s="49">
        <f t="shared" si="11"/>
        <v>203.17131312051544</v>
      </c>
      <c r="I37" s="49">
        <f t="shared" si="11"/>
        <v>179.89952264732383</v>
      </c>
      <c r="J37" s="49">
        <f t="shared" si="11"/>
        <v>161.94755297082239</v>
      </c>
      <c r="K37" s="49">
        <f t="shared" si="11"/>
        <v>199.12917781679215</v>
      </c>
      <c r="L37" s="49">
        <f t="shared" si="11"/>
        <v>203.16377934326766</v>
      </c>
      <c r="M37" s="42"/>
      <c r="N37" s="106">
        <f t="shared" si="9"/>
        <v>172.62889857015352</v>
      </c>
      <c r="O37" s="106">
        <f t="shared" si="10"/>
        <v>165.99740998415174</v>
      </c>
    </row>
    <row r="39" spans="2:15" x14ac:dyDescent="0.35">
      <c r="B39" s="40" t="s">
        <v>149</v>
      </c>
      <c r="C39" s="41">
        <f>IFERROR('Historical FS'!C85/'Historical FS'!C5,0)</f>
        <v>0.12910202453390926</v>
      </c>
      <c r="D39" s="41">
        <f>IFERROR('Historical FS'!D85/'Historical FS'!D5,0)</f>
        <v>-3.1017812288885015E-3</v>
      </c>
      <c r="E39" s="41">
        <f>IFERROR('Historical FS'!E85/'Historical FS'!E5,0)</f>
        <v>6.2845956118051299E-2</v>
      </c>
      <c r="F39" s="41">
        <f>IFERROR('Historical FS'!F85/'Historical FS'!F5,0)</f>
        <v>-1.6530495914877447E-2</v>
      </c>
      <c r="G39" s="41">
        <f>IFERROR('Historical FS'!G85/'Historical FS'!G5,0)</f>
        <v>0.19123082609499167</v>
      </c>
      <c r="H39" s="41">
        <f>IFERROR('Historical FS'!H85/'Historical FS'!H5,0)</f>
        <v>-2.5139761797284627E-2</v>
      </c>
      <c r="I39" s="41">
        <f>IFERROR('Historical FS'!I85/'Historical FS'!I5,0)</f>
        <v>3.3764633394947625E-2</v>
      </c>
      <c r="J39" s="41">
        <f>IFERROR('Historical FS'!J85/'Historical FS'!J5,0)</f>
        <v>3.3180643645759927E-2</v>
      </c>
      <c r="K39" s="41">
        <f>IFERROR('Historical FS'!K85/'Historical FS'!K5,0)</f>
        <v>-8.9486568744210661E-3</v>
      </c>
      <c r="L39" s="41">
        <f>IFERROR('Historical FS'!L85/'Historical FS'!L5,0)</f>
        <v>6.3824442820606508E-2</v>
      </c>
      <c r="M39" s="40"/>
      <c r="N39" s="41">
        <f>IFERROR(AVERAGE(C39:L39),0)</f>
        <v>4.602278307927947E-2</v>
      </c>
      <c r="O39" s="41">
        <f>IFERROR(MEDIAN(C39:L39),0)</f>
        <v>3.3472638520353773E-2</v>
      </c>
    </row>
    <row r="40" spans="2:15" x14ac:dyDescent="0.35">
      <c r="B40" t="s">
        <v>150</v>
      </c>
      <c r="C40" s="37">
        <f>IFERROR('Historical FS'!C85/'Historical FS'!C70,0)</f>
        <v>0.20362601798141439</v>
      </c>
      <c r="D40" s="37">
        <f>IFERROR('Historical FS'!D85/'Historical FS'!D70,0)</f>
        <v>-5.2515271440935016E-3</v>
      </c>
      <c r="E40" s="37">
        <f>IFERROR('Historical FS'!E85/'Historical FS'!E70,0)</f>
        <v>0.10615004133275946</v>
      </c>
      <c r="F40" s="37">
        <f>IFERROR('Historical FS'!F85/'Historical FS'!F70,0)</f>
        <v>-2.5694034258712344E-2</v>
      </c>
      <c r="G40" s="37">
        <f>IFERROR('Historical FS'!G85/'Historical FS'!G70,0)</f>
        <v>0.25170274872293846</v>
      </c>
      <c r="H40" s="37">
        <f>IFERROR('Historical FS'!H85/'Historical FS'!H70,0)</f>
        <v>-3.4170285067019066E-2</v>
      </c>
      <c r="I40" s="37">
        <f>IFERROR('Historical FS'!I85/'Historical FS'!I70,0)</f>
        <v>5.0703182827535158E-2</v>
      </c>
      <c r="J40" s="37">
        <f>IFERROR('Historical FS'!J85/'Historical FS'!J70,0)</f>
        <v>5.3729356198687669E-2</v>
      </c>
      <c r="K40" s="37">
        <f>IFERROR('Historical FS'!K85/'Historical FS'!K70,0)</f>
        <v>-1.3310370279247139E-2</v>
      </c>
      <c r="L40" s="37">
        <f>IFERROR('Historical FS'!L85/'Historical FS'!L70,0)</f>
        <v>9.2303627747230069E-2</v>
      </c>
      <c r="N40" s="37">
        <f t="shared" ref="N40:N41" si="12">IFERROR(AVERAGE(C40:L40),0)</f>
        <v>6.7978875806149322E-2</v>
      </c>
      <c r="O40" s="37">
        <f t="shared" ref="O40:O41" si="13">IFERROR(MEDIAN(C40:L40),0)</f>
        <v>5.221626951311141E-2</v>
      </c>
    </row>
    <row r="41" spans="2:15" x14ac:dyDescent="0.35">
      <c r="B41" s="42" t="s">
        <v>151</v>
      </c>
      <c r="C41" s="43">
        <f>IFERROR('Historical FS'!C85/'Historical FS'!C55,0)</f>
        <v>0.90946276886789945</v>
      </c>
      <c r="D41" s="43">
        <f>IFERROR('Historical FS'!D85/'Historical FS'!D55,0)</f>
        <v>-2.9568127923548647E-2</v>
      </c>
      <c r="E41" s="43">
        <f>IFERROR('Historical FS'!E85/'Historical FS'!E55,0)</f>
        <v>0.51943601701643971</v>
      </c>
      <c r="F41" s="43">
        <f>IFERROR('Historical FS'!F85/'Historical FS'!F55,0)</f>
        <v>-9.7697922515440766E-2</v>
      </c>
      <c r="G41" s="43">
        <f>IFERROR('Historical FS'!G85/'Historical FS'!G55,0)</f>
        <v>0.7341255764455481</v>
      </c>
      <c r="H41" s="43">
        <f>IFERROR('Historical FS'!H85/'Historical FS'!H55,0)</f>
        <v>-9.9518900343642608E-2</v>
      </c>
      <c r="I41" s="43">
        <f>IFERROR('Historical FS'!I85/'Historical FS'!I55,0)</f>
        <v>0.14625814027970535</v>
      </c>
      <c r="J41" s="43">
        <f>IFERROR('Historical FS'!J85/'Historical FS'!J55,0)</f>
        <v>0.10915765069551778</v>
      </c>
      <c r="K41" s="43">
        <f>IFERROR('Historical FS'!K85/'Historical FS'!K55,0)</f>
        <v>-2.6038407854839487E-2</v>
      </c>
      <c r="L41" s="43">
        <f>IFERROR('Historical FS'!L85/'Historical FS'!L55,0)</f>
        <v>0.18255445609222429</v>
      </c>
      <c r="M41" s="42"/>
      <c r="N41" s="43">
        <f t="shared" si="12"/>
        <v>0.23481712507598623</v>
      </c>
      <c r="O41" s="43">
        <f t="shared" si="13"/>
        <v>0.12770789548761158</v>
      </c>
    </row>
  </sheetData>
  <mergeCells count="1">
    <mergeCell ref="B2:O2"/>
  </mergeCells>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displayEmptyCellsAs="gap" markers="1" xr2:uid="{CFDD5C3A-5D75-4514-B385-2A04DAA47C7C}">
          <x14:colorSeries theme="4" tint="0.39997558519241921"/>
          <x14:colorNegative rgb="FFD00000"/>
          <x14:colorAxis rgb="FF000000"/>
          <x14:colorMarkers theme="1"/>
          <x14:colorFirst rgb="FFD00000"/>
          <x14:colorLast rgb="FFD00000"/>
          <x14:colorHigh rgb="FFD00000"/>
          <x14:colorLow rgb="FFD00000"/>
          <x14:sparklines>
            <x14:sparkline>
              <xm:f>'Ratio Analysis'!C11:L11</xm:f>
              <xm:sqref>M11</xm:sqref>
            </x14:sparkline>
            <x14:sparkline>
              <xm:f>'Ratio Analysis'!C12:L12</xm:f>
              <xm:sqref>M12</xm:sqref>
            </x14:sparkline>
            <x14:sparkline>
              <xm:f>'Ratio Analysis'!C13:L13</xm:f>
              <xm:sqref>M13</xm:sqref>
            </x14:sparkline>
            <x14:sparkline>
              <xm:f>'Ratio Analysis'!C14:L14</xm:f>
              <xm:sqref>M14</xm:sqref>
            </x14:sparkline>
            <x14:sparkline>
              <xm:f>'Ratio Analysis'!C15:L15</xm:f>
              <xm:sqref>M15</xm:sqref>
            </x14:sparkline>
            <x14:sparkline>
              <xm:f>'Ratio Analysis'!C16:L16</xm:f>
              <xm:sqref>M16</xm:sqref>
            </x14:sparkline>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
              <xm:f>'Ratio Analysis'!C41:L41</xm:f>
              <xm:sqref>M41</xm:sqref>
            </x14:sparkline>
          </x14:sparklines>
        </x14:sparklineGroup>
        <x14:sparklineGroup displayEmptyCellsAs="gap" markers="1" xr2:uid="{39A2C970-FA75-4E8A-A98E-28114E11930A}">
          <x14:colorSeries theme="4" tint="0.39997558519241921"/>
          <x14:colorNegative rgb="FFD00000"/>
          <x14:colorAxis rgb="FF000000"/>
          <x14:colorMarkers theme="1"/>
          <x14:colorFirst rgb="FFD00000"/>
          <x14:colorLast rgb="FFD00000"/>
          <x14:colorHigh rgb="FFD00000"/>
          <x14:colorLow rgb="FFD00000"/>
          <x14:sparklines>
            <x14:sparkline>
              <xm:f>'Ratio Analysis'!D5:L5</xm:f>
              <xm:sqref>M5</xm:sqref>
            </x14:sparkline>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60B76-6F6E-4F4D-B709-26C926C3513A}">
  <dimension ref="B2:AD44"/>
  <sheetViews>
    <sheetView showGridLines="0" topLeftCell="A5" zoomScale="80" zoomScaleNormal="100" workbookViewId="0">
      <selection activeCell="H16" sqref="H16"/>
    </sheetView>
  </sheetViews>
  <sheetFormatPr defaultColWidth="8.6328125" defaultRowHeight="14.5" x14ac:dyDescent="0.35"/>
  <cols>
    <col min="1" max="1" width="1.81640625" style="52" customWidth="1"/>
    <col min="2" max="2" width="14.08984375" style="52" customWidth="1"/>
    <col min="3" max="4" width="10.6328125" style="52" customWidth="1"/>
    <col min="5" max="5" width="10.6328125" style="54" customWidth="1"/>
    <col min="6" max="6" width="10.7265625" style="53" customWidth="1"/>
    <col min="7" max="7" width="10.54296875" style="52" customWidth="1"/>
    <col min="8" max="8" width="10.6328125" style="52" customWidth="1"/>
    <col min="9" max="10" width="8.81640625" style="52" bestFit="1" customWidth="1"/>
    <col min="11" max="11" width="8.6328125" style="52" customWidth="1"/>
    <col min="12" max="13" width="10.08984375" style="52" customWidth="1"/>
    <col min="14" max="14" width="10.7265625" style="52" customWidth="1"/>
    <col min="15" max="15" width="10.453125" style="52" customWidth="1"/>
    <col min="16" max="16" width="10" style="52" customWidth="1"/>
    <col min="17" max="17" width="10.26953125" style="52" customWidth="1"/>
    <col min="18" max="18" width="9.6328125" style="52" bestFit="1" customWidth="1"/>
    <col min="19" max="16384" width="8.6328125" style="52"/>
  </cols>
  <sheetData>
    <row r="2" spans="2:30" ht="14.25" customHeight="1" x14ac:dyDescent="0.35">
      <c r="B2" s="124" t="str">
        <f>'Data Sheet'!$B$1&amp; " - " &amp;'Data Sheet'!A17&amp; " Forecast 3 Methods"</f>
        <v>TITAN COMPANY LTD - Sales Forecast 3 Methods</v>
      </c>
      <c r="C2" s="124"/>
      <c r="D2" s="124"/>
      <c r="E2" s="124"/>
      <c r="F2" s="124"/>
      <c r="G2" s="124"/>
      <c r="H2" s="124"/>
      <c r="I2" s="124"/>
      <c r="J2" s="124"/>
      <c r="K2" s="124"/>
      <c r="L2" s="124"/>
      <c r="M2" s="124"/>
      <c r="N2" s="124"/>
      <c r="O2" s="124"/>
      <c r="P2" s="124"/>
      <c r="Q2" s="124"/>
      <c r="R2" s="124"/>
    </row>
    <row r="3" spans="2:30" ht="14.25" customHeight="1" x14ac:dyDescent="0.35">
      <c r="B3" s="60"/>
      <c r="C3" s="60"/>
      <c r="D3" s="60"/>
      <c r="E3" s="60"/>
    </row>
    <row r="4" spans="2:30" ht="14.25" customHeight="1" x14ac:dyDescent="0.35">
      <c r="B4" s="53" t="s">
        <v>156</v>
      </c>
      <c r="C4" s="59">
        <v>1</v>
      </c>
      <c r="D4" s="59">
        <f t="shared" ref="D4:R4" si="0">C4+1</f>
        <v>2</v>
      </c>
      <c r="E4" s="59">
        <f t="shared" si="0"/>
        <v>3</v>
      </c>
      <c r="F4" s="59">
        <f t="shared" si="0"/>
        <v>4</v>
      </c>
      <c r="G4" s="59">
        <f t="shared" si="0"/>
        <v>5</v>
      </c>
      <c r="H4" s="59">
        <f t="shared" si="0"/>
        <v>6</v>
      </c>
      <c r="I4" s="59">
        <f t="shared" si="0"/>
        <v>7</v>
      </c>
      <c r="J4" s="59">
        <f t="shared" si="0"/>
        <v>8</v>
      </c>
      <c r="K4" s="59">
        <f t="shared" si="0"/>
        <v>9</v>
      </c>
      <c r="L4" s="59">
        <f t="shared" si="0"/>
        <v>10</v>
      </c>
      <c r="M4" s="59">
        <f t="shared" si="0"/>
        <v>11</v>
      </c>
      <c r="N4" s="59">
        <f t="shared" si="0"/>
        <v>12</v>
      </c>
      <c r="O4" s="59">
        <f t="shared" si="0"/>
        <v>13</v>
      </c>
      <c r="P4" s="59">
        <f t="shared" si="0"/>
        <v>14</v>
      </c>
      <c r="Q4" s="59">
        <f t="shared" si="0"/>
        <v>15</v>
      </c>
      <c r="R4" s="59">
        <f t="shared" si="0"/>
        <v>16</v>
      </c>
    </row>
    <row r="5" spans="2:30" ht="14.25" customHeight="1" x14ac:dyDescent="0.35">
      <c r="B5" s="53" t="str">
        <f>'Historical FS'!B3</f>
        <v xml:space="preserve">Years </v>
      </c>
      <c r="C5" s="58">
        <f>'Historical FS'!C3</f>
        <v>42825</v>
      </c>
      <c r="D5" s="58">
        <f>'Historical FS'!D3</f>
        <v>43190</v>
      </c>
      <c r="E5" s="58">
        <f>'Historical FS'!E3</f>
        <v>43555</v>
      </c>
      <c r="F5" s="58">
        <f>'Historical FS'!F3</f>
        <v>43921</v>
      </c>
      <c r="G5" s="58">
        <f>'Historical FS'!G3</f>
        <v>44286</v>
      </c>
      <c r="H5" s="58">
        <f>'Historical FS'!H3</f>
        <v>44651</v>
      </c>
      <c r="I5" s="58">
        <f>'Historical FS'!I3</f>
        <v>45016</v>
      </c>
      <c r="J5" s="58">
        <f>'Historical FS'!J3</f>
        <v>45382</v>
      </c>
      <c r="K5" s="58">
        <f>'Historical FS'!K3</f>
        <v>45747</v>
      </c>
      <c r="L5" s="58">
        <f>'Historical FS'!L3</f>
        <v>46112</v>
      </c>
      <c r="M5" s="63">
        <f t="shared" ref="M5:R5" si="1">L5+365</f>
        <v>46477</v>
      </c>
      <c r="N5" s="63">
        <f>M5+365</f>
        <v>46842</v>
      </c>
      <c r="O5" s="63">
        <f t="shared" si="1"/>
        <v>47207</v>
      </c>
      <c r="P5" s="63">
        <f t="shared" si="1"/>
        <v>47572</v>
      </c>
      <c r="Q5" s="63">
        <f t="shared" si="1"/>
        <v>47937</v>
      </c>
      <c r="R5" s="63">
        <f t="shared" si="1"/>
        <v>48302</v>
      </c>
    </row>
    <row r="6" spans="2:30" ht="14.25" customHeight="1" x14ac:dyDescent="0.35">
      <c r="B6" s="53" t="str">
        <f xml:space="preserve"> 'Historical FS'!B5</f>
        <v>Sales</v>
      </c>
      <c r="C6" s="57">
        <f>'Historical FS'!C5</f>
        <v>13260.83</v>
      </c>
      <c r="D6" s="57">
        <f>'Historical FS'!D5</f>
        <v>16119.77</v>
      </c>
      <c r="E6" s="57">
        <f>'Historical FS'!E5</f>
        <v>19778.52</v>
      </c>
      <c r="F6" s="57">
        <f>'Historical FS'!F5</f>
        <v>21052</v>
      </c>
      <c r="G6" s="57">
        <f>'Historical FS'!G5</f>
        <v>21644</v>
      </c>
      <c r="H6" s="57">
        <f>'Historical FS'!H5</f>
        <v>28799</v>
      </c>
      <c r="I6" s="57">
        <f>'Historical FS'!I5</f>
        <v>40575</v>
      </c>
      <c r="J6" s="57">
        <f>'Historical FS'!J5</f>
        <v>51084</v>
      </c>
      <c r="K6" s="57">
        <f>'Historical FS'!K5</f>
        <v>60456</v>
      </c>
      <c r="L6" s="57">
        <f>'Historical FS'!L5</f>
        <v>87584</v>
      </c>
      <c r="M6" s="57" cm="1">
        <f t="array" ref="M6:R6">_xlfn.XLOOKUP(F15,B19:B21,M19:R21,"Error",0)</f>
        <v>108023.85512295051</v>
      </c>
      <c r="N6" s="57">
        <v>133233.84722808047</v>
      </c>
      <c r="O6" s="57">
        <v>164327.20371802483</v>
      </c>
      <c r="P6" s="57">
        <v>202676.95066673693</v>
      </c>
      <c r="Q6" s="57">
        <v>249976.5431538292</v>
      </c>
      <c r="R6" s="57">
        <v>308314.64516104804</v>
      </c>
    </row>
    <row r="7" spans="2:30" ht="14.25" customHeight="1" x14ac:dyDescent="0.35">
      <c r="B7" s="53" t="str">
        <f>'Historical FS'!B6</f>
        <v>Sales Growth</v>
      </c>
      <c r="D7" s="55">
        <f>D6/C6-1</f>
        <v>0.21559283996552248</v>
      </c>
      <c r="E7" s="55">
        <f t="shared" ref="E7:L7" si="2">E6/D6-1</f>
        <v>0.22697284142391605</v>
      </c>
      <c r="F7" s="55">
        <f t="shared" si="2"/>
        <v>6.4387021880302431E-2</v>
      </c>
      <c r="G7" s="55">
        <f t="shared" si="2"/>
        <v>2.8120843625308867E-2</v>
      </c>
      <c r="H7" s="55">
        <f t="shared" si="2"/>
        <v>0.33057660321567184</v>
      </c>
      <c r="I7" s="55">
        <f t="shared" si="2"/>
        <v>0.40890308691274013</v>
      </c>
      <c r="J7" s="55">
        <f t="shared" si="2"/>
        <v>0.25900184842883545</v>
      </c>
      <c r="K7" s="55">
        <f t="shared" si="2"/>
        <v>0.18346253229974163</v>
      </c>
      <c r="L7" s="55">
        <f t="shared" si="2"/>
        <v>0.448723038242689</v>
      </c>
      <c r="M7" s="55">
        <f>M6/L6-1</f>
        <v>0.23337430492955913</v>
      </c>
      <c r="N7" s="55">
        <f t="shared" ref="N7" si="3">N6/M6-1</f>
        <v>0.23337430492955913</v>
      </c>
      <c r="O7" s="55">
        <f t="shared" ref="O7" si="4">O6/N6-1</f>
        <v>0.23337430492955913</v>
      </c>
      <c r="P7" s="55">
        <f t="shared" ref="P7" si="5">P6/O6-1</f>
        <v>0.23337430492955913</v>
      </c>
      <c r="Q7" s="55">
        <f t="shared" ref="Q7" si="6">Q6/P6-1</f>
        <v>0.23337430492955913</v>
      </c>
      <c r="R7" s="55">
        <f t="shared" ref="R7" si="7">R6/Q6-1</f>
        <v>0.23337430492955913</v>
      </c>
    </row>
    <row r="8" spans="2:30" ht="14.25" customHeight="1" x14ac:dyDescent="0.35">
      <c r="B8" s="53"/>
      <c r="E8" s="52"/>
      <c r="F8" s="52"/>
    </row>
    <row r="9" spans="2:30" ht="14.25" customHeight="1" x14ac:dyDescent="0.35">
      <c r="B9" s="124" t="s">
        <v>160</v>
      </c>
      <c r="C9" s="124"/>
      <c r="D9" s="124"/>
      <c r="E9" s="124"/>
      <c r="F9" s="52"/>
    </row>
    <row r="10" spans="2:30" ht="14.25" customHeight="1" x14ac:dyDescent="0.35">
      <c r="B10" s="53"/>
      <c r="E10" s="52"/>
      <c r="F10" s="52"/>
      <c r="O10" s="57"/>
      <c r="P10" s="57"/>
      <c r="Q10" s="57"/>
      <c r="R10" s="57"/>
      <c r="S10" s="57"/>
      <c r="T10" s="57"/>
      <c r="U10" s="57"/>
      <c r="V10" s="57"/>
      <c r="W10" s="57"/>
      <c r="X10" s="57"/>
      <c r="Y10" s="57"/>
      <c r="Z10" s="57"/>
      <c r="AA10" s="57"/>
      <c r="AB10" s="57"/>
      <c r="AC10" s="57"/>
      <c r="AD10" s="57"/>
    </row>
    <row r="11" spans="2:30" ht="14.25" customHeight="1" x14ac:dyDescent="0.35">
      <c r="B11" s="56" t="s">
        <v>159</v>
      </c>
      <c r="E11" s="52"/>
      <c r="F11" s="55">
        <f>AVERAGE($D$7:$L$7)</f>
        <v>0.24063785066608087</v>
      </c>
    </row>
    <row r="12" spans="2:30" ht="14.25" customHeight="1" x14ac:dyDescent="0.35">
      <c r="B12" s="56" t="s">
        <v>158</v>
      </c>
      <c r="E12" s="52"/>
      <c r="F12" s="55">
        <f>_xlfn.RRI($L$4-1,$C$6,$L$6)</f>
        <v>0.23337430492955913</v>
      </c>
    </row>
    <row r="13" spans="2:30" ht="14.25" customHeight="1" x14ac:dyDescent="0.35">
      <c r="B13" s="56" t="s">
        <v>157</v>
      </c>
      <c r="E13" s="52"/>
      <c r="F13" s="55" cm="1">
        <f t="array" ref="F13">EXP(SLOPE(LN($C$6:$L$6),$C$4:$L$4))-1</f>
        <v>0.22319246464839226</v>
      </c>
    </row>
    <row r="14" spans="2:30" ht="14.25" customHeight="1" x14ac:dyDescent="0.35">
      <c r="B14" s="56"/>
      <c r="E14" s="52"/>
      <c r="F14" s="55"/>
    </row>
    <row r="15" spans="2:30" ht="14.25" customHeight="1" x14ac:dyDescent="0.35">
      <c r="B15" s="52" t="s">
        <v>165</v>
      </c>
      <c r="E15" s="52"/>
      <c r="F15" s="125" t="s">
        <v>162</v>
      </c>
      <c r="G15" s="125"/>
      <c r="H15" s="125"/>
    </row>
    <row r="16" spans="2:30" ht="14.25" customHeight="1" x14ac:dyDescent="0.35">
      <c r="B16" s="53"/>
      <c r="E16" s="52"/>
      <c r="F16" s="52"/>
    </row>
    <row r="17" spans="2:18" ht="14.25" customHeight="1" x14ac:dyDescent="0.35">
      <c r="B17" s="124" t="s">
        <v>164</v>
      </c>
      <c r="C17" s="124"/>
      <c r="D17" s="124"/>
      <c r="E17" s="124"/>
      <c r="F17" s="52"/>
    </row>
    <row r="18" spans="2:18" ht="14.25" customHeight="1" x14ac:dyDescent="0.35">
      <c r="E18" s="52"/>
      <c r="F18" s="52"/>
    </row>
    <row r="19" spans="2:18" ht="14.25" customHeight="1" x14ac:dyDescent="0.35">
      <c r="B19" s="56" t="s">
        <v>163</v>
      </c>
      <c r="E19" s="52"/>
      <c r="F19" s="52"/>
      <c r="M19" s="57">
        <f>L6*(1+$F$11)</f>
        <v>108660.02551273802</v>
      </c>
      <c r="N19" s="57">
        <f>M19*(1+$F$11)</f>
        <v>134807.74050544482</v>
      </c>
      <c r="O19" s="57">
        <f>N19*(1+$F$11)</f>
        <v>167247.58543382582</v>
      </c>
      <c r="P19" s="57">
        <f>O19*(1+$F$11)</f>
        <v>207493.6849217134</v>
      </c>
      <c r="Q19" s="57">
        <f>P19*(1+$F$11)</f>
        <v>257424.5192880595</v>
      </c>
      <c r="R19" s="57">
        <f>Q19*(1+$F$11)</f>
        <v>319370.60231828724</v>
      </c>
    </row>
    <row r="20" spans="2:18" ht="14.25" customHeight="1" x14ac:dyDescent="0.35">
      <c r="B20" s="56" t="s">
        <v>162</v>
      </c>
      <c r="E20" s="52"/>
      <c r="F20" s="52"/>
      <c r="M20" s="57">
        <f>$L$6*(1+$F$12)</f>
        <v>108023.85512295051</v>
      </c>
      <c r="N20" s="57">
        <f>M20*(1+$F$12)</f>
        <v>133233.84722808047</v>
      </c>
      <c r="O20" s="57">
        <f>N20*(1+$F$12)</f>
        <v>164327.20371802483</v>
      </c>
      <c r="P20" s="57">
        <f>O20*(1+$F$12)</f>
        <v>202676.95066673693</v>
      </c>
      <c r="Q20" s="57">
        <f>P20*(1+$F$12)</f>
        <v>249976.5431538292</v>
      </c>
      <c r="R20" s="57">
        <f>Q20*(1+$F$12)</f>
        <v>308314.64516104804</v>
      </c>
    </row>
    <row r="21" spans="2:18" ht="14.25" customHeight="1" x14ac:dyDescent="0.35">
      <c r="B21" s="56" t="s">
        <v>161</v>
      </c>
      <c r="E21" s="52"/>
      <c r="F21" s="52"/>
      <c r="M21" s="57">
        <f>$L$6*(1+$F$13)</f>
        <v>107132.08882376479</v>
      </c>
      <c r="N21" s="57">
        <f>M21*(1+$F$13)</f>
        <v>131043.16377127133</v>
      </c>
      <c r="O21" s="57">
        <f>N21*(1+$F$13)</f>
        <v>160291.01046870428</v>
      </c>
      <c r="P21" s="57">
        <f>O21*(1+$F$13)</f>
        <v>196066.75615619562</v>
      </c>
      <c r="Q21" s="57">
        <f>P21*(1+$F$13)</f>
        <v>239827.37869831227</v>
      </c>
      <c r="R21" s="57">
        <f>Q21*(1+$F$13)</f>
        <v>293355.04244015191</v>
      </c>
    </row>
    <row r="22" spans="2:18" ht="14.25" customHeight="1" x14ac:dyDescent="0.35">
      <c r="B22" s="62"/>
      <c r="E22" s="52"/>
      <c r="F22" s="52"/>
    </row>
    <row r="23" spans="2:18" ht="14.25" customHeight="1" x14ac:dyDescent="0.35">
      <c r="B23" s="61"/>
      <c r="E23" s="52"/>
      <c r="F23" s="52"/>
    </row>
    <row r="24" spans="2:18" x14ac:dyDescent="0.35">
      <c r="B24" s="124" t="str">
        <f>'Data Sheet'!$B$1&amp; " - " &amp;'Historical FS'!B17&amp; " Forecast 3 Methods"</f>
        <v>TITAN COMPANY LTD - EBITDA Forecast 3 Methods</v>
      </c>
      <c r="C24" s="124"/>
      <c r="D24" s="124"/>
      <c r="E24" s="124"/>
      <c r="F24" s="124"/>
      <c r="G24" s="124"/>
      <c r="H24" s="124"/>
      <c r="I24" s="124"/>
      <c r="J24" s="124"/>
      <c r="K24" s="124"/>
      <c r="L24" s="124"/>
      <c r="M24" s="124"/>
      <c r="N24" s="124"/>
      <c r="O24" s="124"/>
      <c r="P24" s="124"/>
      <c r="Q24" s="124"/>
      <c r="R24" s="124"/>
    </row>
    <row r="26" spans="2:18" x14ac:dyDescent="0.35">
      <c r="B26" s="53" t="s">
        <v>156</v>
      </c>
      <c r="C26" s="59">
        <v>1</v>
      </c>
      <c r="D26" s="59">
        <f t="shared" ref="D26:R26" si="8">C26+1</f>
        <v>2</v>
      </c>
      <c r="E26" s="59">
        <f t="shared" si="8"/>
        <v>3</v>
      </c>
      <c r="F26" s="59">
        <f t="shared" si="8"/>
        <v>4</v>
      </c>
      <c r="G26" s="59">
        <f t="shared" si="8"/>
        <v>5</v>
      </c>
      <c r="H26" s="59">
        <f t="shared" si="8"/>
        <v>6</v>
      </c>
      <c r="I26" s="59">
        <f t="shared" si="8"/>
        <v>7</v>
      </c>
      <c r="J26" s="59">
        <f t="shared" si="8"/>
        <v>8</v>
      </c>
      <c r="K26" s="59">
        <f t="shared" si="8"/>
        <v>9</v>
      </c>
      <c r="L26" s="59">
        <f t="shared" si="8"/>
        <v>10</v>
      </c>
      <c r="M26" s="59">
        <f t="shared" si="8"/>
        <v>11</v>
      </c>
      <c r="N26" s="59">
        <f t="shared" si="8"/>
        <v>12</v>
      </c>
      <c r="O26" s="59">
        <f t="shared" si="8"/>
        <v>13</v>
      </c>
      <c r="P26" s="59">
        <f t="shared" si="8"/>
        <v>14</v>
      </c>
      <c r="Q26" s="59">
        <f t="shared" si="8"/>
        <v>15</v>
      </c>
      <c r="R26" s="59">
        <f t="shared" si="8"/>
        <v>16</v>
      </c>
    </row>
    <row r="27" spans="2:18" x14ac:dyDescent="0.35">
      <c r="B27" s="53" t="str">
        <f>'Historical FS'!B3</f>
        <v xml:space="preserve">Years </v>
      </c>
      <c r="C27" s="58">
        <f>'Historical FS'!C3</f>
        <v>42825</v>
      </c>
      <c r="D27" s="58">
        <f>'Historical FS'!D3</f>
        <v>43190</v>
      </c>
      <c r="E27" s="58">
        <f>'Historical FS'!E3</f>
        <v>43555</v>
      </c>
      <c r="F27" s="58">
        <f>'Historical FS'!F3</f>
        <v>43921</v>
      </c>
      <c r="G27" s="58">
        <f>'Historical FS'!G3</f>
        <v>44286</v>
      </c>
      <c r="H27" s="58">
        <f>'Historical FS'!H3</f>
        <v>44651</v>
      </c>
      <c r="I27" s="58">
        <f>'Historical FS'!I3</f>
        <v>45016</v>
      </c>
      <c r="J27" s="58">
        <f>'Historical FS'!J3</f>
        <v>45382</v>
      </c>
      <c r="K27" s="58">
        <f>'Historical FS'!K3</f>
        <v>45747</v>
      </c>
      <c r="L27" s="58">
        <f>'Historical FS'!L3</f>
        <v>46112</v>
      </c>
      <c r="M27" s="63">
        <f>L27+365</f>
        <v>46477</v>
      </c>
      <c r="N27" s="63">
        <f t="shared" ref="N27:R27" si="9">M27+365</f>
        <v>46842</v>
      </c>
      <c r="O27" s="63">
        <f t="shared" si="9"/>
        <v>47207</v>
      </c>
      <c r="P27" s="63">
        <f t="shared" si="9"/>
        <v>47572</v>
      </c>
      <c r="Q27" s="63">
        <f t="shared" si="9"/>
        <v>47937</v>
      </c>
      <c r="R27" s="63">
        <f t="shared" si="9"/>
        <v>48302</v>
      </c>
    </row>
    <row r="28" spans="2:18" x14ac:dyDescent="0.35">
      <c r="B28" s="52" t="s">
        <v>65</v>
      </c>
      <c r="C28" s="57">
        <f>'Historical FS'!C17</f>
        <v>1163.8999999999996</v>
      </c>
      <c r="D28" s="57">
        <f>'Historical FS'!D17</f>
        <v>1644.2000000000012</v>
      </c>
      <c r="E28" s="57">
        <f>'Historical FS'!E17</f>
        <v>1993.7900000000009</v>
      </c>
      <c r="F28" s="57">
        <f>'Historical FS'!F17</f>
        <v>2463</v>
      </c>
      <c r="G28" s="57">
        <f>'Historical FS'!G17</f>
        <v>1725</v>
      </c>
      <c r="H28" s="57">
        <f>'Historical FS'!H17</f>
        <v>3344</v>
      </c>
      <c r="I28" s="57">
        <f>'Historical FS'!I17</f>
        <v>4882</v>
      </c>
      <c r="J28" s="57">
        <f>'Historical FS'!J17</f>
        <v>5292</v>
      </c>
      <c r="K28" s="57">
        <f>'Historical FS'!K17</f>
        <v>5694</v>
      </c>
      <c r="L28" s="57">
        <f>'Historical FS'!L17</f>
        <v>8357</v>
      </c>
      <c r="M28" s="57" cm="1">
        <f t="array" ref="M28:R28">_xlfn.XLOOKUP(F38,B42:B44,M42:R44,"Error",0)</f>
        <v>10403.42842797469</v>
      </c>
      <c r="N28" s="57">
        <v>12950.977989229617</v>
      </c>
      <c r="O28" s="57">
        <v>16122.36120416727</v>
      </c>
      <c r="P28" s="57">
        <v>20070.339939871967</v>
      </c>
      <c r="Q28" s="57">
        <v>24985.083772834729</v>
      </c>
      <c r="R28" s="57">
        <v>31103.330237841081</v>
      </c>
    </row>
    <row r="29" spans="2:18" x14ac:dyDescent="0.35">
      <c r="B29" s="55" t="str">
        <f>'Historical FS'!B18</f>
        <v>EBITDA Margins</v>
      </c>
      <c r="C29" s="55">
        <f>C28/C6</f>
        <v>8.7769770067182798E-2</v>
      </c>
      <c r="D29" s="55">
        <f t="shared" ref="D29:K29" si="10">D28/D6</f>
        <v>0.10199897393076955</v>
      </c>
      <c r="E29" s="55">
        <f t="shared" si="10"/>
        <v>0.10080582369156038</v>
      </c>
      <c r="F29" s="55">
        <f t="shared" si="10"/>
        <v>0.1169960098802964</v>
      </c>
      <c r="G29" s="55">
        <f t="shared" si="10"/>
        <v>7.9698761781556091E-2</v>
      </c>
      <c r="H29" s="55">
        <f t="shared" si="10"/>
        <v>0.11611514288690579</v>
      </c>
      <c r="I29" s="55">
        <f t="shared" si="10"/>
        <v>0.12032039433148491</v>
      </c>
      <c r="J29" s="55">
        <f t="shared" si="10"/>
        <v>0.10359408033826638</v>
      </c>
      <c r="K29" s="55">
        <f t="shared" si="10"/>
        <v>9.4184200079396582E-2</v>
      </c>
      <c r="L29" s="55">
        <f>L28/L6</f>
        <v>9.5416971136280601E-2</v>
      </c>
      <c r="M29" s="55">
        <f t="shared" ref="M29:R29" si="11">M28/M6</f>
        <v>9.6306768686728716E-2</v>
      </c>
      <c r="N29" s="55">
        <f t="shared" si="11"/>
        <v>9.7204863919144263E-2</v>
      </c>
      <c r="O29" s="55">
        <f t="shared" si="11"/>
        <v>9.8111334212393889E-2</v>
      </c>
      <c r="P29" s="55">
        <f t="shared" si="11"/>
        <v>9.9026257666930073E-2</v>
      </c>
      <c r="Q29" s="55">
        <f t="shared" si="11"/>
        <v>9.9949713111519997E-2</v>
      </c>
      <c r="R29" s="55">
        <f t="shared" si="11"/>
        <v>0.10088178011003748</v>
      </c>
    </row>
    <row r="30" spans="2:18" x14ac:dyDescent="0.35">
      <c r="B30" s="55" t="s">
        <v>124</v>
      </c>
      <c r="C30" s="55"/>
      <c r="D30" s="55">
        <f>D28/C28-1</f>
        <v>0.41266431824040017</v>
      </c>
      <c r="E30" s="55">
        <f t="shared" ref="E30:R30" si="12">E28/D28-1</f>
        <v>0.21262011920690882</v>
      </c>
      <c r="F30" s="55">
        <f t="shared" si="12"/>
        <v>0.23533571740253434</v>
      </c>
      <c r="G30" s="55">
        <f t="shared" si="12"/>
        <v>-0.29963459196102316</v>
      </c>
      <c r="H30" s="55">
        <f t="shared" si="12"/>
        <v>0.93855072463768119</v>
      </c>
      <c r="I30" s="55">
        <f t="shared" si="12"/>
        <v>0.45992822966507174</v>
      </c>
      <c r="J30" s="55">
        <f t="shared" si="12"/>
        <v>8.3981974600573439E-2</v>
      </c>
      <c r="K30" s="55">
        <f t="shared" si="12"/>
        <v>7.5963718820861725E-2</v>
      </c>
      <c r="L30" s="55">
        <f t="shared" si="12"/>
        <v>0.46768528275377586</v>
      </c>
      <c r="M30" s="55">
        <f t="shared" si="12"/>
        <v>0.24487596362028108</v>
      </c>
      <c r="N30" s="55">
        <f t="shared" si="12"/>
        <v>0.24487596362028108</v>
      </c>
      <c r="O30" s="55">
        <f t="shared" si="12"/>
        <v>0.24487596362028108</v>
      </c>
      <c r="P30" s="55">
        <f t="shared" si="12"/>
        <v>0.24487596362028108</v>
      </c>
      <c r="Q30" s="55">
        <f t="shared" si="12"/>
        <v>0.24487596362028108</v>
      </c>
      <c r="R30" s="55">
        <f t="shared" si="12"/>
        <v>0.24487596362028108</v>
      </c>
    </row>
    <row r="32" spans="2:18" x14ac:dyDescent="0.35">
      <c r="B32" s="124" t="s">
        <v>160</v>
      </c>
      <c r="C32" s="124"/>
      <c r="D32" s="124"/>
      <c r="E32" s="124"/>
    </row>
    <row r="33" spans="2:18" x14ac:dyDescent="0.35">
      <c r="B33" s="53"/>
      <c r="E33" s="52"/>
    </row>
    <row r="34" spans="2:18" x14ac:dyDescent="0.35">
      <c r="B34" s="56" t="s">
        <v>200</v>
      </c>
      <c r="E34" s="52"/>
      <c r="F34" s="55">
        <f>AVERAGE($D$30:$L$30)</f>
        <v>0.28745505481853156</v>
      </c>
      <c r="H34" s="55"/>
    </row>
    <row r="35" spans="2:18" x14ac:dyDescent="0.35">
      <c r="B35" s="56" t="s">
        <v>158</v>
      </c>
      <c r="E35" s="52"/>
      <c r="F35" s="55">
        <f>_xlfn.RRI($L$26-1,$C$28,$L$28)</f>
        <v>0.24487596362028108</v>
      </c>
    </row>
    <row r="36" spans="2:18" x14ac:dyDescent="0.35">
      <c r="B36" s="56" t="s">
        <v>157</v>
      </c>
      <c r="E36" s="52"/>
      <c r="F36" s="55" cm="1">
        <f t="array" ref="F36">EXP(SLOPE(LN($C$28:$L$28),$C$26:$L$26))-1</f>
        <v>0.2290681081380832</v>
      </c>
    </row>
    <row r="38" spans="2:18" x14ac:dyDescent="0.35">
      <c r="B38" s="52" t="s">
        <v>165</v>
      </c>
      <c r="F38" s="126" t="s">
        <v>162</v>
      </c>
      <c r="G38" s="126"/>
      <c r="H38" s="126"/>
    </row>
    <row r="40" spans="2:18" x14ac:dyDescent="0.35">
      <c r="B40" s="124" t="s">
        <v>166</v>
      </c>
      <c r="C40" s="124"/>
      <c r="D40" s="124"/>
      <c r="E40" s="124"/>
    </row>
    <row r="41" spans="2:18" x14ac:dyDescent="0.35">
      <c r="B41" s="60"/>
      <c r="C41" s="60"/>
      <c r="D41" s="60"/>
      <c r="E41" s="60"/>
    </row>
    <row r="42" spans="2:18" x14ac:dyDescent="0.35">
      <c r="B42" s="56" t="s">
        <v>163</v>
      </c>
      <c r="E42" s="52"/>
      <c r="M42" s="57">
        <f>$L$28*(1+$F$34)</f>
        <v>10759.261893118468</v>
      </c>
      <c r="N42" s="57">
        <f>M42*(1+$F$34)</f>
        <v>13852.066110411773</v>
      </c>
      <c r="O42" s="57">
        <f t="shared" ref="O42:R42" si="13">N42*(1+$F$34)</f>
        <v>17833.912533530114</v>
      </c>
      <c r="P42" s="57">
        <f t="shared" si="13"/>
        <v>22960.36083848491</v>
      </c>
      <c r="Q42" s="57">
        <f t="shared" si="13"/>
        <v>29560.432621964854</v>
      </c>
      <c r="R42" s="57">
        <f t="shared" si="13"/>
        <v>38057.728401771266</v>
      </c>
    </row>
    <row r="43" spans="2:18" x14ac:dyDescent="0.35">
      <c r="B43" s="56" t="s">
        <v>162</v>
      </c>
      <c r="E43" s="52"/>
      <c r="M43" s="57">
        <f>$L$28*(1+$F$35)</f>
        <v>10403.42842797469</v>
      </c>
      <c r="N43" s="57">
        <f>M43*(1+$F$35)</f>
        <v>12950.977989229617</v>
      </c>
      <c r="O43" s="57">
        <f t="shared" ref="O43:R43" si="14">N43*(1+$F$35)</f>
        <v>16122.36120416727</v>
      </c>
      <c r="P43" s="57">
        <f t="shared" si="14"/>
        <v>20070.339939871967</v>
      </c>
      <c r="Q43" s="57">
        <f t="shared" si="14"/>
        <v>24985.083772834729</v>
      </c>
      <c r="R43" s="57">
        <f t="shared" si="14"/>
        <v>31103.330237841081</v>
      </c>
    </row>
    <row r="44" spans="2:18" x14ac:dyDescent="0.35">
      <c r="B44" s="56" t="s">
        <v>161</v>
      </c>
      <c r="E44" s="52"/>
      <c r="M44" s="57">
        <f>$L$28*(1+$F$36)</f>
        <v>10271.322179709961</v>
      </c>
      <c r="N44" s="57">
        <f>M44*(1+$F$36)</f>
        <v>12624.154519492855</v>
      </c>
      <c r="O44" s="57">
        <f t="shared" ref="O44:R44" si="15">N44*(1+$F$36)</f>
        <v>15515.945712115916</v>
      </c>
      <c r="P44" s="57">
        <f t="shared" si="15"/>
        <v>19070.154042363512</v>
      </c>
      <c r="Q44" s="57">
        <f t="shared" si="15"/>
        <v>23438.518150749544</v>
      </c>
      <c r="R44" s="57">
        <f t="shared" si="15"/>
        <v>28807.535161101867</v>
      </c>
    </row>
  </sheetData>
  <mergeCells count="8">
    <mergeCell ref="B40:E40"/>
    <mergeCell ref="F15:H15"/>
    <mergeCell ref="B24:R24"/>
    <mergeCell ref="B2:R2"/>
    <mergeCell ref="F38:H38"/>
    <mergeCell ref="B9:E9"/>
    <mergeCell ref="B17:E17"/>
    <mergeCell ref="B32:E32"/>
  </mergeCells>
  <dataValidations count="2">
    <dataValidation type="list" allowBlank="1" showInputMessage="1" showErrorMessage="1" sqref="F38" xr:uid="{02C25544-B74E-451E-A4ED-5FAB3D6852CD}">
      <formula1>$B$42:$B$44</formula1>
    </dataValidation>
    <dataValidation type="list" allowBlank="1" showInputMessage="1" showErrorMessage="1" sqref="F15" xr:uid="{018292AF-0F12-4067-8280-6C551C940B07}">
      <formula1>$B$19:$B$21</formula1>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BC939-9D7D-4EE4-B59A-0AF7D8176D35}">
  <dimension ref="B2:K20"/>
  <sheetViews>
    <sheetView showGridLines="0" zoomScale="80" workbookViewId="0">
      <selection activeCell="B13" sqref="B13:B17"/>
    </sheetView>
  </sheetViews>
  <sheetFormatPr defaultRowHeight="14.5" x14ac:dyDescent="0.35"/>
  <cols>
    <col min="1" max="1" width="1.81640625" customWidth="1"/>
    <col min="2" max="2" width="10.6328125" customWidth="1"/>
    <col min="3" max="3" width="10.453125" customWidth="1"/>
    <col min="4" max="4" width="10.08984375" customWidth="1"/>
    <col min="5" max="5" width="9.453125" customWidth="1"/>
    <col min="6" max="6" width="9.6328125" customWidth="1"/>
    <col min="7" max="7" width="11.54296875" bestFit="1" customWidth="1"/>
    <col min="8" max="8" width="9.1796875" customWidth="1"/>
    <col min="9" max="9" width="10.08984375" customWidth="1"/>
    <col min="10" max="10" width="8.08984375" customWidth="1"/>
    <col min="13" max="13" width="11.36328125" bestFit="1" customWidth="1"/>
  </cols>
  <sheetData>
    <row r="2" spans="2:8" x14ac:dyDescent="0.35">
      <c r="B2" s="7" t="s">
        <v>186</v>
      </c>
      <c r="C2" s="7"/>
      <c r="D2" s="7"/>
      <c r="E2" s="7"/>
      <c r="F2" s="7"/>
      <c r="G2" s="88" t="s">
        <v>184</v>
      </c>
    </row>
    <row r="3" spans="2:8" x14ac:dyDescent="0.35">
      <c r="B3" t="s">
        <v>167</v>
      </c>
      <c r="G3" s="90">
        <f>'Projections '!$M$7</f>
        <v>0.23337430492955913</v>
      </c>
    </row>
    <row r="4" spans="2:8" x14ac:dyDescent="0.35">
      <c r="B4" t="s">
        <v>128</v>
      </c>
      <c r="G4" s="90">
        <f>'Projections '!$M$29</f>
        <v>9.6306768686728716E-2</v>
      </c>
    </row>
    <row r="5" spans="2:8" x14ac:dyDescent="0.35">
      <c r="G5" s="23"/>
    </row>
    <row r="6" spans="2:8" x14ac:dyDescent="0.35">
      <c r="B6" t="s">
        <v>185</v>
      </c>
      <c r="G6" s="89">
        <f>'Projections '!$L$6*(1+$G$3)</f>
        <v>108023.85512295051</v>
      </c>
    </row>
    <row r="7" spans="2:8" x14ac:dyDescent="0.35">
      <c r="B7" t="s">
        <v>168</v>
      </c>
      <c r="G7" s="89">
        <f>G6*G4</f>
        <v>10403.42842797469</v>
      </c>
    </row>
    <row r="9" spans="2:8" x14ac:dyDescent="0.35">
      <c r="B9" s="7" t="s">
        <v>169</v>
      </c>
      <c r="C9" s="7"/>
      <c r="D9" s="7"/>
      <c r="E9" s="7"/>
      <c r="F9" s="7"/>
      <c r="G9" s="7"/>
      <c r="H9" s="87"/>
    </row>
    <row r="10" spans="2:8" s="76" customFormat="1" x14ac:dyDescent="0.35">
      <c r="B10" s="86" t="s">
        <v>183</v>
      </c>
      <c r="C10" s="87"/>
      <c r="D10" s="87"/>
      <c r="E10" s="87"/>
      <c r="F10" s="87"/>
      <c r="G10" s="87"/>
      <c r="H10"/>
    </row>
    <row r="12" spans="2:8" x14ac:dyDescent="0.35">
      <c r="B12" s="91">
        <f>G7</f>
        <v>10403.42842797469</v>
      </c>
      <c r="C12" s="100">
        <f>D12-0.05</f>
        <v>0.13337430492955915</v>
      </c>
      <c r="D12" s="100">
        <f>E12-0.05</f>
        <v>0.18337430492955914</v>
      </c>
      <c r="E12" s="100">
        <f>'Projections '!$M$7</f>
        <v>0.23337430492955913</v>
      </c>
      <c r="F12" s="100">
        <f>E12+0.05</f>
        <v>0.28337430492955912</v>
      </c>
      <c r="G12" s="100">
        <f>F12+0.05</f>
        <v>0.33337430492955911</v>
      </c>
      <c r="H12" s="64"/>
    </row>
    <row r="13" spans="2:8" x14ac:dyDescent="0.35">
      <c r="B13" s="100">
        <f>B14-0.02</f>
        <v>5.6306768686728709E-2</v>
      </c>
      <c r="C13" s="92">
        <f t="dataTable" ref="C13:G17" dt2D="1" dtr="1" r1="G3" r2="G4"/>
        <v>5589.3170201908242</v>
      </c>
      <c r="D13" s="92">
        <v>5835.8956216237457</v>
      </c>
      <c r="E13" s="92">
        <v>6082.4742230566681</v>
      </c>
      <c r="F13" s="92">
        <v>6329.0528244895904</v>
      </c>
      <c r="G13" s="92">
        <v>6575.6314259225119</v>
      </c>
      <c r="H13" s="64"/>
    </row>
    <row r="14" spans="2:8" x14ac:dyDescent="0.35">
      <c r="B14" s="100">
        <f>B15-0.02</f>
        <v>7.6306768686728713E-2</v>
      </c>
      <c r="C14" s="92">
        <v>7574.6261226498345</v>
      </c>
      <c r="D14" s="92">
        <v>7908.7887240827558</v>
      </c>
      <c r="E14" s="92">
        <v>8242.9513255156799</v>
      </c>
      <c r="F14" s="92">
        <v>8577.1139269486011</v>
      </c>
      <c r="G14" s="92">
        <v>8911.2765283815224</v>
      </c>
      <c r="H14" s="64"/>
    </row>
    <row r="15" spans="2:8" x14ac:dyDescent="0.35">
      <c r="B15" s="100">
        <f>'Projections '!$M$29</f>
        <v>9.6306768686728716E-2</v>
      </c>
      <c r="C15" s="92">
        <v>9559.9352251088458</v>
      </c>
      <c r="D15" s="92">
        <v>9981.681826541766</v>
      </c>
      <c r="E15" s="93">
        <v>10403.42842797469</v>
      </c>
      <c r="F15" s="92">
        <v>10825.175029407612</v>
      </c>
      <c r="G15" s="92">
        <v>11246.921630840532</v>
      </c>
      <c r="H15" s="64"/>
    </row>
    <row r="16" spans="2:8" x14ac:dyDescent="0.35">
      <c r="B16" s="100">
        <f>B15+0.02</f>
        <v>0.11630676868672872</v>
      </c>
      <c r="C16" s="92">
        <v>11545.244327567856</v>
      </c>
      <c r="D16" s="92">
        <v>12054.574929000777</v>
      </c>
      <c r="E16" s="92">
        <v>12563.9055304337</v>
      </c>
      <c r="F16" s="92">
        <v>13073.236131866623</v>
      </c>
      <c r="G16" s="92">
        <v>13582.566733299544</v>
      </c>
      <c r="H16" s="64"/>
    </row>
    <row r="17" spans="2:11" x14ac:dyDescent="0.35">
      <c r="B17" s="100">
        <f>B16+0.02</f>
        <v>0.13630676868672872</v>
      </c>
      <c r="C17" s="92">
        <v>13530.553430026866</v>
      </c>
      <c r="D17" s="92">
        <v>14127.468031459786</v>
      </c>
      <c r="E17" s="92">
        <v>14724.382632892712</v>
      </c>
      <c r="F17" s="92">
        <v>15321.297234325633</v>
      </c>
      <c r="G17" s="92">
        <v>15918.211835758553</v>
      </c>
    </row>
    <row r="19" spans="2:11" x14ac:dyDescent="0.35">
      <c r="B19" s="76" t="s">
        <v>197</v>
      </c>
      <c r="C19" s="92" t="str">
        <f>"₹"&amp;TEXT(MIN(C13:G17),"#,##0")&amp;"- ₹"&amp;TEXT(MAX(C13:G17),"#,##0")</f>
        <v>₹5,589- ₹15,918</v>
      </c>
      <c r="K19" s="37"/>
    </row>
    <row r="20" spans="2:11" x14ac:dyDescent="0.35">
      <c r="B20" s="71" t="s">
        <v>173</v>
      </c>
      <c r="C20" t="str">
        <f>TEXT((C13-E15)/E15,"+0%;-0%")&amp; " / " &amp;TEXT((G17-E15)/E15,"+0%;-0%")</f>
        <v>-46% / +53%</v>
      </c>
    </row>
  </sheetData>
  <conditionalFormatting sqref="C13:G17">
    <cfRule type="colorScale" priority="2">
      <colorScale>
        <cfvo type="min"/>
        <cfvo type="percentile" val="50"/>
        <cfvo type="max"/>
        <color rgb="FFF8696B"/>
        <color rgb="FFFCFCFF"/>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Data Sheet</vt:lpstr>
      <vt:lpstr>Historical FS</vt:lpstr>
      <vt:lpstr>Ratio Analysis</vt:lpstr>
      <vt:lpstr>Projections </vt:lpstr>
      <vt:lpstr>Sensitivity Analysis</vt:lpstr>
      <vt:lpstr>'Data Sheet'!UPDATE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amshiv4852@outlook.com</dc:creator>
  <cp:lastModifiedBy>Shivam Gupta</cp:lastModifiedBy>
  <cp:lastPrinted>2026-09-09T09:07:57Z</cp:lastPrinted>
  <dcterms:created xsi:type="dcterms:W3CDTF">2026-09-07T07:54:36Z</dcterms:created>
  <dcterms:modified xsi:type="dcterms:W3CDTF">2026-10-08T19:43:24Z</dcterms:modified>
</cp:coreProperties>
</file>